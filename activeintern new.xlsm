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drawings/drawing3.xml" ContentType="application/vnd.openxmlformats-officedocument.drawing+xml"/>
  <Override PartName="/xl/ctrlProps/ctrlProp5.xml" ContentType="application/vnd.ms-excel.controlproperties+xml"/>
  <Override PartName="/xl/drawings/drawing4.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5.xml" ContentType="application/vnd.openxmlformats-officedocument.drawing+xml"/>
  <Override PartName="/xl/slicers/slicer1.xml" ContentType="application/vnd.ms-excel.slicer+xml"/>
  <Override PartName="/xl/drawings/drawing6.xml" ContentType="application/vnd.openxmlformats-officedocument.drawing+xml"/>
  <Override PartName="/xl/ctrlProps/ctrlProp10.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32" codeName="{4D1C537B-E38A-612A-F078-A93A15B4B7F4}"/>
  <workbookPr codeName="ThisWorkbook" hidePivotFieldList="1" defaultThemeVersion="166925"/>
  <mc:AlternateContent xmlns:mc="http://schemas.openxmlformats.org/markup-compatibility/2006">
    <mc:Choice Requires="x15">
      <x15ac:absPath xmlns:x15ac="http://schemas.microsoft.com/office/spreadsheetml/2010/11/ac" url="D:\jahsh data scientist\new files\"/>
    </mc:Choice>
  </mc:AlternateContent>
  <xr:revisionPtr revIDLastSave="0" documentId="13_ncr:1_{E83F53DF-90DF-42D8-8397-07F6D0A46471}" xr6:coauthVersionLast="47" xr6:coauthVersionMax="47" xr10:uidLastSave="{00000000-0000-0000-0000-000000000000}"/>
  <bookViews>
    <workbookView xWindow="-108" yWindow="-108" windowWidth="23256" windowHeight="12456" xr2:uid="{5804ED93-9C8B-4FE3-ABFD-050678284FC4}"/>
  </bookViews>
  <sheets>
    <sheet name="Data to be pdf" sheetId="1" r:id="rId1"/>
    <sheet name="Sheet2" sheetId="2" r:id="rId2"/>
    <sheet name="form to excel" sheetId="3" r:id="rId3"/>
    <sheet name="Sheet1" sheetId="6" r:id="rId4"/>
    <sheet name="sheet to" sheetId="4" r:id="rId5"/>
    <sheet name="active intern" sheetId="7" r:id="rId6"/>
    <sheet name="raw" sheetId="10" r:id="rId7"/>
    <sheet name="Sheet5" sheetId="13" r:id="rId8"/>
    <sheet name="active pdf" sheetId="8" r:id="rId9"/>
  </sheets>
  <externalReferences>
    <externalReference r:id="rId10"/>
  </externalReferences>
  <definedNames>
    <definedName name="_xlnm.Print_Area" localSheetId="8">'active pdf'!$A:$H</definedName>
    <definedName name="_xlnm.Print_Area" localSheetId="0">'Data to be pdf'!$B$2:$H$19</definedName>
    <definedName name="_xlnm.Print_Area" localSheetId="4">'sheet to'!$B$2:$H$17</definedName>
    <definedName name="Slicer_Join_Date">#N/A</definedName>
  </definedNames>
  <calcPr calcId="191029"/>
  <pivotCaches>
    <pivotCache cacheId="5" r:id="rId11"/>
  </pivotCaches>
  <extLst>
    <ext xmlns:x14="http://schemas.microsoft.com/office/spreadsheetml/2009/9/main" uri="{BBE1A952-AA13-448e-AADC-164F8A28A991}">
      <x14:slicerCaches>
        <x14:slicerCache r:id="rId12"/>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F26" i="7" l="1"/>
  <c r="F30" i="7"/>
  <c r="F29" i="7"/>
  <c r="F28" i="7"/>
  <c r="F27" i="7"/>
  <c r="F25" i="7"/>
  <c r="F24" i="7"/>
  <c r="F23" i="7"/>
  <c r="I9" i="7"/>
  <c r="G27" i="3"/>
  <c r="G26" i="3"/>
  <c r="G25" i="3"/>
  <c r="G24" i="3"/>
  <c r="G23" i="3"/>
  <c r="G22" i="3"/>
  <c r="G21" i="3"/>
  <c r="H9" i="1"/>
  <c r="H10" i="1"/>
  <c r="H11" i="1"/>
  <c r="H12" i="1"/>
  <c r="H13" i="1"/>
  <c r="H14" i="1"/>
  <c r="H15" i="1"/>
  <c r="H16" i="1"/>
  <c r="H17" i="1"/>
  <c r="H18" i="1"/>
  <c r="H19" i="1"/>
  <c r="H8" i="1"/>
  <c r="E15" i="1"/>
  <c r="E16" i="1"/>
  <c r="E17" i="1"/>
  <c r="E18" i="1"/>
  <c r="E19" i="1"/>
  <c r="E14" i="1"/>
  <c r="D15" i="1"/>
  <c r="D16" i="1"/>
  <c r="D17" i="1"/>
  <c r="D18" i="1"/>
  <c r="D19" i="1"/>
  <c r="D14" i="1"/>
  <c r="C15" i="1"/>
  <c r="C16" i="1"/>
  <c r="C17" i="1"/>
  <c r="C18" i="1"/>
  <c r="C19" i="1"/>
  <c r="C14" i="1"/>
  <c r="D4" i="1"/>
</calcChain>
</file>

<file path=xl/sharedStrings.xml><?xml version="1.0" encoding="utf-8"?>
<sst xmlns="http://schemas.openxmlformats.org/spreadsheetml/2006/main" count="246" uniqueCount="118">
  <si>
    <t xml:space="preserve">Data </t>
  </si>
  <si>
    <t>Company</t>
  </si>
  <si>
    <t>stu_id</t>
  </si>
  <si>
    <t>Name</t>
  </si>
  <si>
    <t>Course</t>
  </si>
  <si>
    <t>Age</t>
  </si>
  <si>
    <t>Evaluation 1</t>
  </si>
  <si>
    <t>Evaluation 2</t>
  </si>
  <si>
    <t>Total</t>
  </si>
  <si>
    <t>stu_1</t>
  </si>
  <si>
    <t>stu_2</t>
  </si>
  <si>
    <t>stu_3</t>
  </si>
  <si>
    <t>stu_4</t>
  </si>
  <si>
    <t>stu_5</t>
  </si>
  <si>
    <t>stu_6</t>
  </si>
  <si>
    <t>stu_7</t>
  </si>
  <si>
    <t>stu_8</t>
  </si>
  <si>
    <t>stu_9</t>
  </si>
  <si>
    <t>stu_10</t>
  </si>
  <si>
    <t>stu_11</t>
  </si>
  <si>
    <t>Althaf</t>
  </si>
  <si>
    <t>Ajmal</t>
  </si>
  <si>
    <t>Swalih</t>
  </si>
  <si>
    <t>Athul</t>
  </si>
  <si>
    <t>Shinas</t>
  </si>
  <si>
    <t>Shanis</t>
  </si>
  <si>
    <t>Basith</t>
  </si>
  <si>
    <t>Vyas</t>
  </si>
  <si>
    <t>Shahal</t>
  </si>
  <si>
    <t>Rishan</t>
  </si>
  <si>
    <t>Rahul</t>
  </si>
  <si>
    <t>DA</t>
  </si>
  <si>
    <t>DS</t>
  </si>
  <si>
    <t>Mern</t>
  </si>
  <si>
    <t>Da</t>
  </si>
  <si>
    <t>Flutter</t>
  </si>
  <si>
    <t>Dm</t>
  </si>
  <si>
    <t>stu_12</t>
  </si>
  <si>
    <t>Praveen</t>
  </si>
  <si>
    <t>ds</t>
  </si>
  <si>
    <t>tcs</t>
  </si>
  <si>
    <t>First name:</t>
  </si>
  <si>
    <t>Last Name</t>
  </si>
  <si>
    <t>Department</t>
  </si>
  <si>
    <t>Gender</t>
  </si>
  <si>
    <t>Entry time</t>
  </si>
  <si>
    <t>Futura Labs</t>
  </si>
  <si>
    <t>Staff_id</t>
  </si>
  <si>
    <t>femal</t>
  </si>
  <si>
    <t>male</t>
  </si>
  <si>
    <t>Fut_1</t>
  </si>
  <si>
    <t>Muhammed</t>
  </si>
  <si>
    <t>Jahsh</t>
  </si>
  <si>
    <t>Data Analytics</t>
  </si>
  <si>
    <t>Evening</t>
  </si>
  <si>
    <t>fut_2</t>
  </si>
  <si>
    <t>vyas</t>
  </si>
  <si>
    <t>Elayadath</t>
  </si>
  <si>
    <t>video editor</t>
  </si>
  <si>
    <t>morning</t>
  </si>
  <si>
    <t>fut5</t>
  </si>
  <si>
    <t>shaji</t>
  </si>
  <si>
    <t>abraham</t>
  </si>
  <si>
    <t>digtal marketing</t>
  </si>
  <si>
    <t>fut_43</t>
  </si>
  <si>
    <t>shahala</t>
  </si>
  <si>
    <t>flutter</t>
  </si>
  <si>
    <t>Sl No</t>
  </si>
  <si>
    <t>Mode</t>
  </si>
  <si>
    <t>Technology</t>
  </si>
  <si>
    <t>Join Date</t>
  </si>
  <si>
    <t>Duration</t>
  </si>
  <si>
    <t>Staff Allotment</t>
  </si>
  <si>
    <t>Active Interns</t>
  </si>
  <si>
    <t>6 Month</t>
  </si>
  <si>
    <t>sl no</t>
  </si>
  <si>
    <t>name</t>
  </si>
  <si>
    <t>mode</t>
  </si>
  <si>
    <t>technology</t>
  </si>
  <si>
    <t>gender</t>
  </si>
  <si>
    <t>duration</t>
  </si>
  <si>
    <t>join date</t>
  </si>
  <si>
    <t>staff allotment</t>
  </si>
  <si>
    <t>Online</t>
  </si>
  <si>
    <t>Male</t>
  </si>
  <si>
    <t>DM</t>
  </si>
  <si>
    <t>Shaji</t>
  </si>
  <si>
    <t>Sarath</t>
  </si>
  <si>
    <t>Hafis</t>
  </si>
  <si>
    <t>Female</t>
  </si>
  <si>
    <t>Offline</t>
  </si>
  <si>
    <t>Rani</t>
  </si>
  <si>
    <t>Vishnu</t>
  </si>
  <si>
    <t>4 Month</t>
  </si>
  <si>
    <t>Shanif</t>
  </si>
  <si>
    <t>Count of Name</t>
  </si>
  <si>
    <t>Rabeeh</t>
  </si>
  <si>
    <t>Shahala</t>
  </si>
  <si>
    <t>Fathima</t>
  </si>
  <si>
    <t>Afsal</t>
  </si>
  <si>
    <t>Theertha</t>
  </si>
  <si>
    <t>Midhu</t>
  </si>
  <si>
    <t>Sharbin</t>
  </si>
  <si>
    <t>Video Editor</t>
  </si>
  <si>
    <t>Years</t>
  </si>
  <si>
    <t>Apr</t>
  </si>
  <si>
    <t>May</t>
  </si>
  <si>
    <t>Jul</t>
  </si>
  <si>
    <t>Jun</t>
  </si>
  <si>
    <t>Sani</t>
  </si>
  <si>
    <t>Sneha</t>
  </si>
  <si>
    <t>Bahu</t>
  </si>
  <si>
    <t>Sahul</t>
  </si>
  <si>
    <t>Hafsal</t>
  </si>
  <si>
    <t>Ds</t>
  </si>
  <si>
    <t>Fasil</t>
  </si>
  <si>
    <t>Dec</t>
  </si>
  <si>
    <t>Sreena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</si>
</sst>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0" x14ac:knownFonts="1">
    <font>
      <sz val="11"/>
      <color theme="1"/>
      <name val="Calibri"/>
      <family val="2"/>
      <scheme val="minor"/>
    </font>
    <font>
      <sz val="8"/>
      <name val="Calibri"/>
      <family val="2"/>
      <scheme val="minor"/>
    </font>
    <font>
      <sz val="22"/>
      <color theme="1"/>
      <name val="Calibri"/>
      <family val="2"/>
      <scheme val="minor"/>
    </font>
    <font>
      <sz val="11"/>
      <color rgb="FF000000"/>
      <name val="Calibri"/>
      <family val="2"/>
    </font>
    <font>
      <sz val="8"/>
      <color rgb="FF000000"/>
      <name val="Segoe UI"/>
      <family val="2"/>
    </font>
    <font>
      <b/>
      <sz val="22"/>
      <color theme="1"/>
      <name val="Calibri"/>
      <family val="2"/>
      <scheme val="minor"/>
    </font>
    <font>
      <sz val="11"/>
      <color theme="9" tint="-0.249977111117893"/>
      <name val="Calibri"/>
      <family val="2"/>
      <scheme val="minor"/>
    </font>
    <font>
      <sz val="11"/>
      <color rgb="FFC00000"/>
      <name val="Calibri"/>
      <family val="2"/>
      <scheme val="minor"/>
    </font>
    <font>
      <sz val="11"/>
      <name val="Calibri"/>
      <family val="2"/>
      <scheme val="minor"/>
    </font>
    <font>
      <sz val="14"/>
      <color theme="0"/>
      <name val="Calibri"/>
      <family val="2"/>
      <scheme val="minor"/>
    </font>
  </fonts>
  <fills count="10">
    <fill>
      <patternFill patternType="none"/>
    </fill>
    <fill>
      <patternFill patternType="gray125"/>
    </fill>
    <fill>
      <patternFill patternType="solid">
        <fgColor rgb="FFFFFF00"/>
        <bgColor indexed="64"/>
      </patternFill>
    </fill>
    <fill>
      <patternFill patternType="solid">
        <fgColor theme="2"/>
        <bgColor indexed="64"/>
      </patternFill>
    </fill>
    <fill>
      <patternFill patternType="solid">
        <fgColor theme="4" tint="0.79998168889431442"/>
        <bgColor indexed="64"/>
      </patternFill>
    </fill>
    <fill>
      <patternFill patternType="solid">
        <fgColor theme="9" tint="0.59999389629810485"/>
        <bgColor indexed="64"/>
      </patternFill>
    </fill>
    <fill>
      <patternFill patternType="solid">
        <fgColor theme="0"/>
        <bgColor indexed="64"/>
      </patternFill>
    </fill>
    <fill>
      <patternFill patternType="solid">
        <fgColor theme="8" tint="0.59999389629810485"/>
        <bgColor indexed="64"/>
      </patternFill>
    </fill>
    <fill>
      <patternFill patternType="solid">
        <fgColor theme="7"/>
        <bgColor indexed="64"/>
      </patternFill>
    </fill>
    <fill>
      <patternFill patternType="solid">
        <fgColor theme="1"/>
        <bgColor indexed="64"/>
      </patternFill>
    </fill>
  </fills>
  <borders count="14">
    <border>
      <left/>
      <right/>
      <top/>
      <bottom/>
      <diagonal/>
    </border>
    <border>
      <left style="thin">
        <color indexed="64"/>
      </left>
      <right style="thin">
        <color indexed="64"/>
      </right>
      <top style="thin">
        <color indexed="64"/>
      </top>
      <bottom style="thin">
        <color indexed="64"/>
      </bottom>
      <diagonal/>
    </border>
    <border>
      <left/>
      <right style="thin">
        <color indexed="64"/>
      </right>
      <top/>
      <bottom/>
      <diagonal/>
    </border>
    <border>
      <left style="thin">
        <color indexed="64"/>
      </left>
      <right style="thin">
        <color indexed="64"/>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s>
  <cellStyleXfs count="1">
    <xf numFmtId="0" fontId="0" fillId="0" borderId="0"/>
  </cellStyleXfs>
  <cellXfs count="55">
    <xf numFmtId="0" fontId="0" fillId="0" borderId="0" xfId="0"/>
    <xf numFmtId="0" fontId="0" fillId="0" borderId="1" xfId="0" applyBorder="1"/>
    <xf numFmtId="14" fontId="0" fillId="0" borderId="1" xfId="0" applyNumberFormat="1" applyBorder="1"/>
    <xf numFmtId="0" fontId="0" fillId="2" borderId="1" xfId="0" applyFill="1" applyBorder="1"/>
    <xf numFmtId="0" fontId="0" fillId="0" borderId="2" xfId="0" applyFill="1" applyBorder="1"/>
    <xf numFmtId="2" fontId="0" fillId="0" borderId="1" xfId="0" applyNumberFormat="1" applyBorder="1"/>
    <xf numFmtId="0" fontId="0" fillId="0" borderId="3" xfId="0" applyFill="1" applyBorder="1"/>
    <xf numFmtId="0" fontId="0" fillId="0" borderId="4" xfId="0" applyBorder="1"/>
    <xf numFmtId="0" fontId="0" fillId="0" borderId="5" xfId="0" applyBorder="1"/>
    <xf numFmtId="0" fontId="0" fillId="0" borderId="6" xfId="0" applyBorder="1"/>
    <xf numFmtId="0" fontId="0" fillId="0" borderId="7" xfId="0" applyBorder="1"/>
    <xf numFmtId="0" fontId="0" fillId="0" borderId="0" xfId="0" applyBorder="1"/>
    <xf numFmtId="0" fontId="0" fillId="0" borderId="2" xfId="0" applyBorder="1"/>
    <xf numFmtId="0" fontId="0" fillId="0" borderId="8" xfId="0" applyBorder="1"/>
    <xf numFmtId="0" fontId="0" fillId="0" borderId="9" xfId="0" applyBorder="1"/>
    <xf numFmtId="0" fontId="0" fillId="0" borderId="10" xfId="0" applyBorder="1"/>
    <xf numFmtId="0" fontId="0" fillId="3" borderId="0" xfId="0" applyFill="1"/>
    <xf numFmtId="0" fontId="0" fillId="4" borderId="4" xfId="0" applyFill="1" applyBorder="1"/>
    <xf numFmtId="0" fontId="0" fillId="4" borderId="5" xfId="0" applyFill="1" applyBorder="1"/>
    <xf numFmtId="0" fontId="0" fillId="4" borderId="6" xfId="0" applyFill="1" applyBorder="1"/>
    <xf numFmtId="0" fontId="0" fillId="0" borderId="0" xfId="0" applyFill="1" applyBorder="1"/>
    <xf numFmtId="0" fontId="0" fillId="3" borderId="0" xfId="0" applyFill="1" applyBorder="1"/>
    <xf numFmtId="0" fontId="0" fillId="0" borderId="11" xfId="0" applyBorder="1"/>
    <xf numFmtId="2" fontId="0" fillId="0" borderId="12" xfId="0" applyNumberFormat="1" applyBorder="1"/>
    <xf numFmtId="0" fontId="0" fillId="0" borderId="13" xfId="0" applyBorder="1"/>
    <xf numFmtId="0" fontId="0" fillId="0" borderId="13" xfId="0" applyFill="1" applyBorder="1"/>
    <xf numFmtId="0" fontId="0" fillId="5" borderId="0" xfId="0" applyFill="1"/>
    <xf numFmtId="0" fontId="0" fillId="6" borderId="0" xfId="0" applyFill="1" applyBorder="1" applyAlignment="1">
      <alignment horizontal="center"/>
    </xf>
    <xf numFmtId="0" fontId="0" fillId="7" borderId="1" xfId="0" applyFont="1" applyFill="1" applyBorder="1" applyAlignment="1"/>
    <xf numFmtId="0" fontId="0" fillId="6" borderId="0" xfId="0" applyFill="1" applyBorder="1" applyAlignment="1"/>
    <xf numFmtId="0" fontId="0" fillId="7" borderId="1" xfId="0" applyFill="1" applyBorder="1" applyAlignment="1"/>
    <xf numFmtId="0" fontId="0" fillId="6" borderId="2" xfId="0" applyFill="1" applyBorder="1" applyAlignment="1"/>
    <xf numFmtId="0" fontId="0" fillId="6" borderId="0" xfId="0" applyFill="1" applyBorder="1" applyAlignment="1">
      <alignment horizontal="left"/>
    </xf>
    <xf numFmtId="0" fontId="0" fillId="0" borderId="0" xfId="0" applyBorder="1" applyAlignment="1">
      <alignment horizontal="left"/>
    </xf>
    <xf numFmtId="0" fontId="0" fillId="6" borderId="0" xfId="0" applyFill="1" applyBorder="1" applyAlignment="1">
      <alignment horizontal="right"/>
    </xf>
    <xf numFmtId="0" fontId="0" fillId="0" borderId="0" xfId="0" applyBorder="1" applyAlignment="1">
      <alignment horizontal="right"/>
    </xf>
    <xf numFmtId="0" fontId="7" fillId="0" borderId="0" xfId="0" applyFont="1" applyBorder="1" applyAlignment="1">
      <alignment horizontal="center"/>
    </xf>
    <xf numFmtId="0" fontId="7" fillId="0" borderId="0" xfId="0" applyFont="1" applyBorder="1"/>
    <xf numFmtId="0" fontId="8" fillId="7" borderId="1" xfId="0" applyFont="1" applyFill="1" applyBorder="1" applyAlignment="1"/>
    <xf numFmtId="0" fontId="0" fillId="7" borderId="1" xfId="0" applyFill="1" applyBorder="1" applyAlignment="1">
      <alignment horizontal="left"/>
    </xf>
    <xf numFmtId="14" fontId="0" fillId="7" borderId="1" xfId="0" applyNumberFormat="1" applyFill="1" applyBorder="1" applyAlignment="1">
      <alignment horizontal="left"/>
    </xf>
    <xf numFmtId="14" fontId="0" fillId="0" borderId="0" xfId="0" applyNumberFormat="1"/>
    <xf numFmtId="0" fontId="9" fillId="8" borderId="1" xfId="0" applyFont="1" applyFill="1" applyBorder="1"/>
    <xf numFmtId="0" fontId="0" fillId="0" borderId="0" xfId="0" pivotButton="1"/>
    <xf numFmtId="0" fontId="0" fillId="0" borderId="0" xfId="0" applyNumberFormat="1"/>
    <xf numFmtId="0" fontId="6" fillId="9" borderId="0" xfId="0" applyFont="1" applyFill="1"/>
    <xf numFmtId="0" fontId="0" fillId="9" borderId="0" xfId="0" applyFill="1"/>
    <xf numFmtId="0" fontId="0" fillId="9" borderId="0" xfId="0" applyFill="1" applyAlignment="1">
      <alignment horizontal="center"/>
    </xf>
    <xf numFmtId="0" fontId="2" fillId="0" borderId="0" xfId="0" applyFont="1" applyBorder="1" applyAlignment="1">
      <alignment horizontal="center"/>
    </xf>
    <xf numFmtId="0" fontId="0" fillId="0" borderId="0" xfId="0" applyBorder="1" applyAlignment="1">
      <alignment horizontal="center"/>
    </xf>
    <xf numFmtId="0" fontId="5" fillId="0" borderId="0" xfId="0" applyFont="1" applyBorder="1" applyAlignment="1">
      <alignment horizontal="center"/>
    </xf>
    <xf numFmtId="0" fontId="0" fillId="7" borderId="12" xfId="0" applyFill="1" applyBorder="1" applyAlignment="1">
      <alignment horizontal="left"/>
    </xf>
    <xf numFmtId="0" fontId="0" fillId="7" borderId="11" xfId="0" applyFill="1" applyBorder="1" applyAlignment="1">
      <alignment horizontal="left"/>
    </xf>
    <xf numFmtId="0" fontId="0" fillId="7" borderId="12" xfId="0" applyFill="1" applyBorder="1" applyAlignment="1">
      <alignment horizontal="center"/>
    </xf>
    <xf numFmtId="0" fontId="0" fillId="7" borderId="11" xfId="0" applyFill="1" applyBorder="1" applyAlignment="1">
      <alignment horizontal="center"/>
    </xf>
  </cellXfs>
  <cellStyles count="1">
    <cellStyle name="Normal" xfId="0" builtinId="0"/>
  </cellStyles>
  <dxfs count="10">
    <dxf>
      <numFmt numFmtId="2" formatCode="0.00"/>
      <border diagonalUp="0" diagonalDown="0">
        <left style="thin">
          <color indexed="64"/>
        </left>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diagonalUp="0" diagonalDown="0">
        <left/>
        <right style="thin">
          <color indexed="64"/>
        </right>
        <top style="thin">
          <color indexed="64"/>
        </top>
        <bottom style="thin">
          <color indexed="64"/>
        </bottom>
        <vertical/>
        <horizontal/>
      </border>
    </dxf>
    <dxf>
      <border outline="0">
        <left style="thin">
          <color indexed="64"/>
        </left>
        <right style="thin">
          <color indexed="64"/>
        </right>
        <top style="thin">
          <color indexed="64"/>
        </top>
      </border>
    </dxf>
    <dxf>
      <border outline="0">
        <bottom style="thin">
          <color indexed="64"/>
        </bottom>
      </border>
    </dxf>
    <dxf>
      <border diagonalUp="0" diagonalDown="0" outline="0">
        <left style="thin">
          <color indexed="64"/>
        </left>
        <right style="thin">
          <color indexed="64"/>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7/relationships/slicerCache" Target="slicerCaches/slicerCache1.xml"/><Relationship Id="rId17"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pivotCacheDefinition" Target="pivotCache/pivotCacheDefinition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[activeintern new.xlsm]Sheet5!PivotTable15</c:name>
    <c:fmtId val="3"/>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GB"/>
              <a:t>Total Interns By Mode</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Sheet5!$B$3</c:f>
              <c:strCache>
                <c:ptCount val="1"/>
                <c:pt idx="0">
                  <c:v>Total</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Sheet5!$A$4:$A$5</c:f>
              <c:strCache>
                <c:ptCount val="2"/>
                <c:pt idx="0">
                  <c:v>Offline</c:v>
                </c:pt>
                <c:pt idx="1">
                  <c:v>Online</c:v>
                </c:pt>
              </c:strCache>
            </c:strRef>
          </c:cat>
          <c:val>
            <c:numRef>
              <c:f>Sheet5!$B$4:$B$5</c:f>
              <c:numCache>
                <c:formatCode>General</c:formatCode>
                <c:ptCount val="2"/>
                <c:pt idx="0">
                  <c:v>7</c:v>
                </c:pt>
                <c:pt idx="1">
                  <c:v>6</c:v>
                </c:pt>
              </c:numCache>
            </c:numRef>
          </c:val>
          <c:extLst>
            <c:ext xmlns:c16="http://schemas.microsoft.com/office/drawing/2014/chart" uri="{C3380CC4-5D6E-409C-BE32-E72D297353CC}">
              <c16:uniqueId val="{00000000-2B3A-4597-8CA0-99A9540155A6}"/>
            </c:ext>
          </c:extLst>
        </c:ser>
        <c:dLbls>
          <c:dLblPos val="inEnd"/>
          <c:showLegendKey val="0"/>
          <c:showVal val="1"/>
          <c:showCatName val="0"/>
          <c:showSerName val="0"/>
          <c:showPercent val="0"/>
          <c:showBubbleSize val="0"/>
        </c:dLbls>
        <c:gapWidth val="100"/>
        <c:overlap val="-24"/>
        <c:axId val="1633933072"/>
        <c:axId val="1633941392"/>
      </c:barChart>
      <c:catAx>
        <c:axId val="1633933072"/>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633941392"/>
        <c:crosses val="autoZero"/>
        <c:auto val="1"/>
        <c:lblAlgn val="ctr"/>
        <c:lblOffset val="100"/>
        <c:noMultiLvlLbl val="0"/>
      </c:catAx>
      <c:valAx>
        <c:axId val="1633941392"/>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633933072"/>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[activeintern new.xlsm]Sheet5!PivotTable16</c:name>
    <c:fmtId val="11"/>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GB"/>
              <a:t>Duration</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dLbl>
          <c:idx val="0"/>
          <c:showLegendKey val="0"/>
          <c:showVal val="0"/>
          <c:showCatName val="0"/>
          <c:showSerName val="0"/>
          <c:showPercent val="0"/>
          <c:showBubbleSize val="0"/>
          <c:extLst>
            <c:ext xmlns:c15="http://schemas.microsoft.com/office/drawing/2012/chart" uri="{CE6537A1-D6FC-4f65-9D91-7224C49458BB}"/>
          </c:extLst>
        </c:dLbl>
      </c:pivotFmt>
      <c:pivotFmt>
        <c:idx val="7"/>
        <c:dLbl>
          <c:idx val="0"/>
          <c:showLegendKey val="0"/>
          <c:showVal val="0"/>
          <c:showCatName val="0"/>
          <c:showSerName val="0"/>
          <c:showPercent val="0"/>
          <c:showBubbleSize val="0"/>
          <c:extLst>
            <c:ext xmlns:c15="http://schemas.microsoft.com/office/drawing/2012/chart" uri="{CE6537A1-D6FC-4f65-9D91-7224C49458BB}"/>
          </c:extLst>
        </c:dLbl>
      </c:pivotFmt>
      <c:pivotFmt>
        <c:idx val="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0839012275931878"/>
          <c:y val="0.13095414543770262"/>
          <c:w val="0.71159448818897642"/>
          <c:h val="0.75010279965004378"/>
        </c:manualLayout>
      </c:layout>
      <c:barChart>
        <c:barDir val="bar"/>
        <c:grouping val="clustered"/>
        <c:varyColors val="0"/>
        <c:ser>
          <c:idx val="0"/>
          <c:order val="0"/>
          <c:tx>
            <c:strRef>
              <c:f>Sheet5!$F$7:$F$8</c:f>
              <c:strCache>
                <c:ptCount val="1"/>
                <c:pt idx="0">
                  <c:v>4 Month</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Sheet5!$E$9</c:f>
              <c:strCache>
                <c:ptCount val="1"/>
                <c:pt idx="0">
                  <c:v>Total</c:v>
                </c:pt>
              </c:strCache>
            </c:strRef>
          </c:cat>
          <c:val>
            <c:numRef>
              <c:f>Sheet5!$F$9</c:f>
              <c:numCache>
                <c:formatCode>General</c:formatCode>
                <c:ptCount val="1"/>
                <c:pt idx="0">
                  <c:v>3</c:v>
                </c:pt>
              </c:numCache>
            </c:numRef>
          </c:val>
          <c:extLst>
            <c:ext xmlns:c16="http://schemas.microsoft.com/office/drawing/2014/chart" uri="{C3380CC4-5D6E-409C-BE32-E72D297353CC}">
              <c16:uniqueId val="{00000000-A385-4BFB-8A0B-DF3C3A060874}"/>
            </c:ext>
          </c:extLst>
        </c:ser>
        <c:ser>
          <c:idx val="1"/>
          <c:order val="1"/>
          <c:tx>
            <c:strRef>
              <c:f>Sheet5!$G$7:$G$8</c:f>
              <c:strCache>
                <c:ptCount val="1"/>
                <c:pt idx="0">
                  <c:v>6 Month</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Sheet5!$E$9</c:f>
              <c:strCache>
                <c:ptCount val="1"/>
                <c:pt idx="0">
                  <c:v>Total</c:v>
                </c:pt>
              </c:strCache>
            </c:strRef>
          </c:cat>
          <c:val>
            <c:numRef>
              <c:f>Sheet5!$G$9</c:f>
              <c:numCache>
                <c:formatCode>General</c:formatCode>
                <c:ptCount val="1"/>
                <c:pt idx="0">
                  <c:v>10</c:v>
                </c:pt>
              </c:numCache>
            </c:numRef>
          </c:val>
          <c:extLst>
            <c:ext xmlns:c16="http://schemas.microsoft.com/office/drawing/2014/chart" uri="{C3380CC4-5D6E-409C-BE32-E72D297353CC}">
              <c16:uniqueId val="{00000001-A385-4BFB-8A0B-DF3C3A060874}"/>
            </c:ext>
          </c:extLst>
        </c:ser>
        <c:dLbls>
          <c:showLegendKey val="0"/>
          <c:showVal val="0"/>
          <c:showCatName val="0"/>
          <c:showSerName val="0"/>
          <c:showPercent val="0"/>
          <c:showBubbleSize val="0"/>
        </c:dLbls>
        <c:gapWidth val="115"/>
        <c:overlap val="-20"/>
        <c:axId val="1643640192"/>
        <c:axId val="1643640608"/>
      </c:barChart>
      <c:catAx>
        <c:axId val="1643640192"/>
        <c:scaling>
          <c:orientation val="minMax"/>
        </c:scaling>
        <c:delete val="0"/>
        <c:axPos val="l"/>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643640608"/>
        <c:crosses val="autoZero"/>
        <c:auto val="1"/>
        <c:lblAlgn val="ctr"/>
        <c:lblOffset val="100"/>
        <c:noMultiLvlLbl val="0"/>
      </c:catAx>
      <c:valAx>
        <c:axId val="1643640608"/>
        <c:scaling>
          <c:orientation val="minMax"/>
        </c:scaling>
        <c:delete val="0"/>
        <c:axPos val="b"/>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643640192"/>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[activeintern new.xlsm]Sheet5!PivotTable20</c:name>
    <c:fmtId val="20"/>
  </c:pivotSource>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Sheet5!$I$15</c:f>
              <c:strCache>
                <c:ptCount val="1"/>
                <c:pt idx="0">
                  <c:v>Total</c:v>
                </c:pt>
              </c:strCache>
            </c:strRef>
          </c:tx>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strRef>
              <c:f>Sheet5!$H$16:$H$20</c:f>
              <c:strCache>
                <c:ptCount val="5"/>
                <c:pt idx="0">
                  <c:v>Apr</c:v>
                </c:pt>
                <c:pt idx="1">
                  <c:v>May</c:v>
                </c:pt>
                <c:pt idx="2">
                  <c:v>Jun</c:v>
                </c:pt>
                <c:pt idx="3">
                  <c:v>Jul</c:v>
                </c:pt>
                <c:pt idx="4">
                  <c:v>Dec</c:v>
                </c:pt>
              </c:strCache>
            </c:strRef>
          </c:cat>
          <c:val>
            <c:numRef>
              <c:f>Sheet5!$I$16:$I$20</c:f>
              <c:numCache>
                <c:formatCode>General</c:formatCode>
                <c:ptCount val="5"/>
                <c:pt idx="0">
                  <c:v>4</c:v>
                </c:pt>
                <c:pt idx="1">
                  <c:v>3</c:v>
                </c:pt>
                <c:pt idx="2">
                  <c:v>3</c:v>
                </c:pt>
                <c:pt idx="3">
                  <c:v>1</c:v>
                </c:pt>
                <c:pt idx="4">
                  <c:v>2</c:v>
                </c:pt>
              </c:numCache>
            </c:numRef>
          </c:val>
          <c:smooth val="0"/>
          <c:extLst>
            <c:ext xmlns:c16="http://schemas.microsoft.com/office/drawing/2014/chart" uri="{C3380CC4-5D6E-409C-BE32-E72D297353CC}">
              <c16:uniqueId val="{00000000-2DCA-4A6E-8791-00C8F586B8F5}"/>
            </c:ext>
          </c:extLst>
        </c:ser>
        <c:dLbls>
          <c:showLegendKey val="0"/>
          <c:showVal val="0"/>
          <c:showCatName val="0"/>
          <c:showSerName val="0"/>
          <c:showPercent val="0"/>
          <c:showBubbleSize val="0"/>
        </c:dLbls>
        <c:marker val="1"/>
        <c:smooth val="0"/>
        <c:axId val="1636330528"/>
        <c:axId val="1636332192"/>
      </c:lineChart>
      <c:catAx>
        <c:axId val="1636330528"/>
        <c:scaling>
          <c:orientation val="minMax"/>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636332192"/>
        <c:crosses val="autoZero"/>
        <c:auto val="1"/>
        <c:lblAlgn val="ctr"/>
        <c:lblOffset val="100"/>
        <c:noMultiLvlLbl val="0"/>
      </c:catAx>
      <c:valAx>
        <c:axId val="1636332192"/>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63633052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2.xml><?xml version="1.0" encoding="utf-8"?>
<cs:chartStyle xmlns:cs="http://schemas.microsoft.com/office/drawing/2012/chartStyle" xmlns:a="http://schemas.openxmlformats.org/drawingml/2006/main" id="222">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ize="5"/>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3.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Radio" checked="Checked" firstButton="1" fmlaLink="$H$27" lockText="1" noThreeD="1"/>
</file>

<file path=xl/ctrlProps/ctrlProp3.xml><?xml version="1.0" encoding="utf-8"?>
<formControlPr xmlns="http://schemas.microsoft.com/office/spreadsheetml/2009/9/main" objectType="Radio" lockText="1" noThreeD="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Radio" firstButton="1" fmlaLink="$G$26" lockText="1" noThreeD="1"/>
</file>

<file path=xl/ctrlProps/ctrlProp7.xml><?xml version="1.0" encoding="utf-8"?>
<formControlPr xmlns="http://schemas.microsoft.com/office/spreadsheetml/2009/9/main" objectType="Radio" checked="Checked" lockText="1" noThreeD="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266700</xdr:colOff>
          <xdr:row>4</xdr:row>
          <xdr:rowOff>76200</xdr:rowOff>
        </xdr:from>
        <xdr:to>
          <xdr:col>10</xdr:col>
          <xdr:colOff>251460</xdr:colOff>
          <xdr:row>6</xdr:row>
          <xdr:rowOff>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cs typeface="Calibri"/>
                </a:rPr>
                <a:t>Export to pdf</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106680</xdr:colOff>
          <xdr:row>9</xdr:row>
          <xdr:rowOff>22860</xdr:rowOff>
        </xdr:from>
        <xdr:to>
          <xdr:col>7</xdr:col>
          <xdr:colOff>586740</xdr:colOff>
          <xdr:row>9</xdr:row>
          <xdr:rowOff>175260</xdr:rowOff>
        </xdr:to>
        <xdr:sp macro="" textlink="">
          <xdr:nvSpPr>
            <xdr:cNvPr id="3073" name="Option Button 1" hidden="1">
              <a:extLst>
                <a:ext uri="{63B3BB69-23CF-44E3-9099-C40C66FF867C}">
                  <a14:compatExt spid="_x0000_s3073"/>
                </a:ext>
                <a:ext uri="{FF2B5EF4-FFF2-40B4-BE49-F238E27FC236}">
                  <a16:creationId xmlns:a16="http://schemas.microsoft.com/office/drawing/2014/main" id="{00000000-0008-0000-0200-000001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GB" sz="800" b="0" i="0" u="none" strike="noStrike" baseline="0">
                  <a:solidFill>
                    <a:srgbClr val="000000"/>
                  </a:solidFill>
                  <a:latin typeface="Segoe UI"/>
                  <a:cs typeface="Segoe UI"/>
                </a:rPr>
                <a:t> Morning</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15240</xdr:colOff>
          <xdr:row>9</xdr:row>
          <xdr:rowOff>38100</xdr:rowOff>
        </xdr:from>
        <xdr:to>
          <xdr:col>9</xdr:col>
          <xdr:colOff>7620</xdr:colOff>
          <xdr:row>10</xdr:row>
          <xdr:rowOff>22860</xdr:rowOff>
        </xdr:to>
        <xdr:sp macro="" textlink="">
          <xdr:nvSpPr>
            <xdr:cNvPr id="3074" name="Option Button 2" hidden="1">
              <a:extLst>
                <a:ext uri="{63B3BB69-23CF-44E3-9099-C40C66FF867C}">
                  <a14:compatExt spid="_x0000_s3074"/>
                </a:ext>
                <a:ext uri="{FF2B5EF4-FFF2-40B4-BE49-F238E27FC236}">
                  <a16:creationId xmlns:a16="http://schemas.microsoft.com/office/drawing/2014/main" id="{00000000-0008-0000-0200-000002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GB" sz="800" b="0" i="0" u="none" strike="noStrike" baseline="0">
                  <a:solidFill>
                    <a:srgbClr val="000000"/>
                  </a:solidFill>
                  <a:latin typeface="Segoe UI"/>
                  <a:cs typeface="Segoe UI"/>
                </a:rPr>
                <a:t>Evening</a:t>
              </a:r>
            </a:p>
          </xdr:txBody>
        </xdr:sp>
        <xdr:clientData/>
      </xdr:twoCellAnchor>
    </mc:Choice>
    <mc:Fallback/>
  </mc:AlternateContent>
  <xdr:twoCellAnchor editAs="oneCell">
    <xdr:from>
      <xdr:col>6</xdr:col>
      <xdr:colOff>76200</xdr:colOff>
      <xdr:row>1</xdr:row>
      <xdr:rowOff>76200</xdr:rowOff>
    </xdr:from>
    <xdr:to>
      <xdr:col>10</xdr:col>
      <xdr:colOff>243840</xdr:colOff>
      <xdr:row>4</xdr:row>
      <xdr:rowOff>60960</xdr:rowOff>
    </xdr:to>
    <xdr:pic>
      <xdr:nvPicPr>
        <xdr:cNvPr id="3" name="Picture 2">
          <a:extLst>
            <a:ext uri="{FF2B5EF4-FFF2-40B4-BE49-F238E27FC236}">
              <a16:creationId xmlns:a16="http://schemas.microsoft.com/office/drawing/2014/main" id="{00000000-0008-0000-02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810000" y="259080"/>
          <a:ext cx="2735580" cy="533400"/>
        </a:xfrm>
        <a:prstGeom prst="rect">
          <a:avLst/>
        </a:prstGeom>
      </xdr:spPr>
    </xdr:pic>
    <xdr:clientData/>
  </xdr:twoCellAnchor>
  <mc:AlternateContent xmlns:mc="http://schemas.openxmlformats.org/markup-compatibility/2006">
    <mc:Choice xmlns:a14="http://schemas.microsoft.com/office/drawing/2010/main" Requires="a14">
      <xdr:twoCellAnchor>
        <xdr:from>
          <xdr:col>5</xdr:col>
          <xdr:colOff>198120</xdr:colOff>
          <xdr:row>14</xdr:row>
          <xdr:rowOff>7620</xdr:rowOff>
        </xdr:from>
        <xdr:to>
          <xdr:col>7</xdr:col>
          <xdr:colOff>236220</xdr:colOff>
          <xdr:row>15</xdr:row>
          <xdr:rowOff>53340</xdr:rowOff>
        </xdr:to>
        <xdr:sp macro="" textlink="">
          <xdr:nvSpPr>
            <xdr:cNvPr id="3078" name="Button 6" hidden="1">
              <a:extLst>
                <a:ext uri="{63B3BB69-23CF-44E3-9099-C40C66FF867C}">
                  <a14:compatExt spid="_x0000_s3078"/>
                </a:ext>
                <a:ext uri="{FF2B5EF4-FFF2-40B4-BE49-F238E27FC236}">
                  <a16:creationId xmlns:a16="http://schemas.microsoft.com/office/drawing/2014/main" id="{00000000-0008-0000-0200-000006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cs typeface="Calibri"/>
                </a:rPr>
                <a:t>Submit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441960</xdr:colOff>
          <xdr:row>2</xdr:row>
          <xdr:rowOff>30480</xdr:rowOff>
        </xdr:from>
        <xdr:to>
          <xdr:col>11</xdr:col>
          <xdr:colOff>76200</xdr:colOff>
          <xdr:row>3</xdr:row>
          <xdr:rowOff>7620</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400-000001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cs typeface="Calibri"/>
                </a:rPr>
                <a:t>Topdf</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60960</xdr:colOff>
          <xdr:row>11</xdr:row>
          <xdr:rowOff>30480</xdr:rowOff>
        </xdr:from>
        <xdr:to>
          <xdr:col>5</xdr:col>
          <xdr:colOff>563880</xdr:colOff>
          <xdr:row>11</xdr:row>
          <xdr:rowOff>160020</xdr:rowOff>
        </xdr:to>
        <xdr:sp macro="" textlink="">
          <xdr:nvSpPr>
            <xdr:cNvPr id="5122" name="Option Button 2" hidden="1">
              <a:extLst>
                <a:ext uri="{63B3BB69-23CF-44E3-9099-C40C66FF867C}">
                  <a14:compatExt spid="_x0000_s5122"/>
                </a:ext>
                <a:ext uri="{FF2B5EF4-FFF2-40B4-BE49-F238E27FC236}">
                  <a16:creationId xmlns:a16="http://schemas.microsoft.com/office/drawing/2014/main" id="{00000000-0008-0000-0500-000002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GB" sz="800" b="0" i="0" u="none" strike="noStrike" baseline="0">
                  <a:solidFill>
                    <a:srgbClr val="000000"/>
                  </a:solidFill>
                  <a:latin typeface="Segoe UI"/>
                  <a:cs typeface="Segoe UI"/>
                </a:rPr>
                <a:t>Online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11</xdr:row>
          <xdr:rowOff>30480</xdr:rowOff>
        </xdr:from>
        <xdr:to>
          <xdr:col>6</xdr:col>
          <xdr:colOff>502920</xdr:colOff>
          <xdr:row>11</xdr:row>
          <xdr:rowOff>160020</xdr:rowOff>
        </xdr:to>
        <xdr:sp macro="" textlink="">
          <xdr:nvSpPr>
            <xdr:cNvPr id="5123" name="Option Button 3" hidden="1">
              <a:extLst>
                <a:ext uri="{63B3BB69-23CF-44E3-9099-C40C66FF867C}">
                  <a14:compatExt spid="_x0000_s5123"/>
                </a:ext>
                <a:ext uri="{FF2B5EF4-FFF2-40B4-BE49-F238E27FC236}">
                  <a16:creationId xmlns:a16="http://schemas.microsoft.com/office/drawing/2014/main" id="{00000000-0008-0000-0500-000003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GB" sz="800" b="0" i="0" u="none" strike="noStrike" baseline="0">
                  <a:solidFill>
                    <a:srgbClr val="000000"/>
                  </a:solidFill>
                  <a:latin typeface="Segoe UI"/>
                  <a:cs typeface="Segoe UI"/>
                </a:rPr>
                <a:t>Offline</a:t>
              </a:r>
            </a:p>
          </xdr:txBody>
        </xdr:sp>
        <xdr:clientData/>
      </xdr:twoCellAnchor>
    </mc:Choice>
    <mc:Fallback/>
  </mc:AlternateContent>
  <mc:AlternateContent xmlns:mc="http://schemas.openxmlformats.org/markup-compatibility/2006">
    <mc:Choice xmlns:a14="http://schemas.microsoft.com/office/drawing/2010/main" Requires="a14">
      <xdr:twoCellAnchor>
        <xdr:from>
          <xdr:col>6</xdr:col>
          <xdr:colOff>510540</xdr:colOff>
          <xdr:row>16</xdr:row>
          <xdr:rowOff>106680</xdr:rowOff>
        </xdr:from>
        <xdr:to>
          <xdr:col>7</xdr:col>
          <xdr:colOff>891540</xdr:colOff>
          <xdr:row>17</xdr:row>
          <xdr:rowOff>121920</xdr:rowOff>
        </xdr:to>
        <xdr:sp macro="" textlink="">
          <xdr:nvSpPr>
            <xdr:cNvPr id="5129" name="Button 9" hidden="1">
              <a:extLst>
                <a:ext uri="{63B3BB69-23CF-44E3-9099-C40C66FF867C}">
                  <a14:compatExt spid="_x0000_s5129"/>
                </a:ext>
                <a:ext uri="{FF2B5EF4-FFF2-40B4-BE49-F238E27FC236}">
                  <a16:creationId xmlns:a16="http://schemas.microsoft.com/office/drawing/2014/main" id="{00000000-0008-0000-0500-000009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cs typeface="Calibri"/>
                </a:rPr>
                <a:t>Submit</a:t>
              </a:r>
            </a:p>
          </xdr:txBody>
        </xdr:sp>
        <xdr:clientData fPrintsWithSheet="0"/>
      </xdr:twoCellAnchor>
    </mc:Choice>
    <mc:Fallback/>
  </mc:AlternateContent>
  <xdr:twoCellAnchor>
    <xdr:from>
      <xdr:col>0</xdr:col>
      <xdr:colOff>190500</xdr:colOff>
      <xdr:row>18</xdr:row>
      <xdr:rowOff>22860</xdr:rowOff>
    </xdr:from>
    <xdr:to>
      <xdr:col>5</xdr:col>
      <xdr:colOff>312420</xdr:colOff>
      <xdr:row>43</xdr:row>
      <xdr:rowOff>99060</xdr:rowOff>
    </xdr:to>
    <xdr:graphicFrame macro="">
      <xdr:nvGraphicFramePr>
        <xdr:cNvPr id="9" name="Chart 8">
          <a:extLst>
            <a:ext uri="{FF2B5EF4-FFF2-40B4-BE49-F238E27FC236}">
              <a16:creationId xmlns:a16="http://schemas.microsoft.com/office/drawing/2014/main" id="{00000000-0008-0000-05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12</xdr:col>
          <xdr:colOff>220980</xdr:colOff>
          <xdr:row>4</xdr:row>
          <xdr:rowOff>175260</xdr:rowOff>
        </xdr:from>
        <xdr:to>
          <xdr:col>14</xdr:col>
          <xdr:colOff>243840</xdr:colOff>
          <xdr:row>6</xdr:row>
          <xdr:rowOff>68580</xdr:rowOff>
        </xdr:to>
        <xdr:sp macro="" textlink="">
          <xdr:nvSpPr>
            <xdr:cNvPr id="5133" name="Button 13" hidden="1">
              <a:extLst>
                <a:ext uri="{63B3BB69-23CF-44E3-9099-C40C66FF867C}">
                  <a14:compatExt spid="_x0000_s5133"/>
                </a:ext>
                <a:ext uri="{FF2B5EF4-FFF2-40B4-BE49-F238E27FC236}">
                  <a16:creationId xmlns:a16="http://schemas.microsoft.com/office/drawing/2014/main" id="{00000000-0008-0000-0500-00000D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cs typeface="Calibri"/>
                </a:rPr>
                <a:t>Refresh Charts</a:t>
              </a:r>
            </a:p>
          </xdr:txBody>
        </xdr:sp>
        <xdr:clientData fPrintsWithSheet="0"/>
      </xdr:twoCellAnchor>
    </mc:Choice>
    <mc:Fallback/>
  </mc:AlternateContent>
  <xdr:twoCellAnchor>
    <xdr:from>
      <xdr:col>6</xdr:col>
      <xdr:colOff>198120</xdr:colOff>
      <xdr:row>18</xdr:row>
      <xdr:rowOff>7620</xdr:rowOff>
    </xdr:from>
    <xdr:to>
      <xdr:col>10</xdr:col>
      <xdr:colOff>0</xdr:colOff>
      <xdr:row>43</xdr:row>
      <xdr:rowOff>76200</xdr:rowOff>
    </xdr:to>
    <xdr:graphicFrame macro="">
      <xdr:nvGraphicFramePr>
        <xdr:cNvPr id="13" name="Chart 12">
          <a:extLst>
            <a:ext uri="{FF2B5EF4-FFF2-40B4-BE49-F238E27FC236}">
              <a16:creationId xmlns:a16="http://schemas.microsoft.com/office/drawing/2014/main" id="{00000000-0008-0000-05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10</xdr:col>
      <xdr:colOff>342900</xdr:colOff>
      <xdr:row>7</xdr:row>
      <xdr:rowOff>53340</xdr:rowOff>
    </xdr:from>
    <xdr:to>
      <xdr:col>20</xdr:col>
      <xdr:colOff>449580</xdr:colOff>
      <xdr:row>43</xdr:row>
      <xdr:rowOff>68580</xdr:rowOff>
    </xdr:to>
    <xdr:graphicFrame macro="">
      <xdr:nvGraphicFramePr>
        <xdr:cNvPr id="14" name="Chart 13">
          <a:extLst>
            <a:ext uri="{FF2B5EF4-FFF2-40B4-BE49-F238E27FC236}">
              <a16:creationId xmlns:a16="http://schemas.microsoft.com/office/drawing/2014/main" id="{00000000-0008-0000-05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editAs="oneCell">
    <xdr:from>
      <xdr:col>13</xdr:col>
      <xdr:colOff>152400</xdr:colOff>
      <xdr:row>3</xdr:row>
      <xdr:rowOff>160020</xdr:rowOff>
    </xdr:from>
    <xdr:to>
      <xdr:col>17</xdr:col>
      <xdr:colOff>198120</xdr:colOff>
      <xdr:row>17</xdr:row>
      <xdr:rowOff>66675</xdr:rowOff>
    </xdr:to>
    <mc:AlternateContent xmlns:mc="http://schemas.openxmlformats.org/markup-compatibility/2006" xmlns:a14="http://schemas.microsoft.com/office/drawing/2010/main">
      <mc:Choice Requires="a14">
        <xdr:graphicFrame macro="">
          <xdr:nvGraphicFramePr>
            <xdr:cNvPr id="8" name="Join Date">
              <a:extLst>
                <a:ext uri="{FF2B5EF4-FFF2-40B4-BE49-F238E27FC236}">
                  <a16:creationId xmlns:a16="http://schemas.microsoft.com/office/drawing/2014/main" id="{00000000-0008-0000-0700-000008000000}"/>
                </a:ext>
              </a:extLst>
            </xdr:cNvPr>
            <xdr:cNvGraphicFramePr/>
          </xdr:nvGraphicFramePr>
          <xdr:xfrm>
            <a:off x="0" y="0"/>
            <a:ext cx="0" cy="0"/>
          </xdr:xfrm>
          <a:graphic>
            <a:graphicData uri="http://schemas.microsoft.com/office/drawing/2010/slicer">
              <sle:slicer xmlns:sle="http://schemas.microsoft.com/office/drawing/2010/slicer" name="Join Date"/>
            </a:graphicData>
          </a:graphic>
        </xdr:graphicFrame>
      </mc:Choice>
      <mc:Fallback xmlns="">
        <xdr:sp macro="" textlink="">
          <xdr:nvSpPr>
            <xdr:cNvPr id="0" name=""/>
            <xdr:cNvSpPr>
              <a:spLocks noTextEdit="1"/>
            </xdr:cNvSpPr>
          </xdr:nvSpPr>
          <xdr:spPr>
            <a:xfrm>
              <a:off x="8336280" y="708660"/>
              <a:ext cx="1828800" cy="2466975"/>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320040</xdr:colOff>
          <xdr:row>4</xdr:row>
          <xdr:rowOff>30480</xdr:rowOff>
        </xdr:from>
        <xdr:to>
          <xdr:col>11</xdr:col>
          <xdr:colOff>175260</xdr:colOff>
          <xdr:row>5</xdr:row>
          <xdr:rowOff>91440</xdr:rowOff>
        </xdr:to>
        <xdr:sp macro="" textlink="">
          <xdr:nvSpPr>
            <xdr:cNvPr id="9217" name="Button 1" hidden="1">
              <a:extLst>
                <a:ext uri="{63B3BB69-23CF-44E3-9099-C40C66FF867C}">
                  <a14:compatExt spid="_x0000_s9217"/>
                </a:ext>
                <a:ext uri="{FF2B5EF4-FFF2-40B4-BE49-F238E27FC236}">
                  <a16:creationId xmlns:a16="http://schemas.microsoft.com/office/drawing/2014/main" id="{00000000-0008-0000-0800-000001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cs typeface="Calibri"/>
                </a:rPr>
                <a:t>Export To PDF</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jahsh%20data%20scientist/vbs%20function.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 val="Sheet2"/>
      <sheetName val="Sheet3"/>
      <sheetName val="vbs function"/>
    </sheetNames>
    <definedNames>
      <definedName name="ExportToPDF"/>
    </definedNames>
    <sheetDataSet>
      <sheetData sheetId="0"/>
      <sheetData sheetId="1"/>
      <sheetData sheetId="2"/>
      <sheetData sheetId="3" refreshError="1"/>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futura" refreshedDate="45457.417032870369" createdVersion="7" refreshedVersion="7" minRefreshableVersion="3" recordCount="13" xr:uid="{8F7DAF4C-08CA-4921-A779-5EC24750EA9A}">
  <cacheSource type="worksheet">
    <worksheetSource ref="A1:H14" sheet="active pdf"/>
  </cacheSource>
  <cacheFields count="10">
    <cacheField name="sl no" numFmtId="0">
      <sharedItems containsSemiMixedTypes="0" containsString="0" containsNumber="1" containsInteger="1" minValue="1" maxValue="17"/>
    </cacheField>
    <cacheField name="Name" numFmtId="0">
      <sharedItems/>
    </cacheField>
    <cacheField name="Gender" numFmtId="0">
      <sharedItems/>
    </cacheField>
    <cacheField name="Mode" numFmtId="0">
      <sharedItems count="2">
        <s v="Offline"/>
        <s v="Online"/>
      </sharedItems>
    </cacheField>
    <cacheField name="Duration" numFmtId="0">
      <sharedItems count="2">
        <s v="6 Month"/>
        <s v="4 Month"/>
      </sharedItems>
    </cacheField>
    <cacheField name="Join Date" numFmtId="14">
      <sharedItems containsSemiMixedTypes="0" containsNonDate="0" containsDate="1" containsString="0" minDate="2023-04-01T00:00:00" maxDate="2024-06-05T00:00:00" count="13">
        <d v="2023-12-12T00:00:00"/>
        <d v="2023-12-11T00:00:00"/>
        <d v="2023-06-06T00:00:00"/>
        <d v="2023-05-04T00:00:00"/>
        <d v="2023-05-11T00:00:00"/>
        <d v="2023-04-12T00:00:00"/>
        <d v="2024-05-12T00:00:00"/>
        <d v="2023-07-12T00:00:00"/>
        <d v="2023-04-01T00:00:00"/>
        <d v="2024-04-01T00:00:00"/>
        <d v="2024-04-05T00:00:00"/>
        <d v="2024-06-01T00:00:00"/>
        <d v="2024-06-04T00:00:00"/>
      </sharedItems>
      <fieldGroup par="9" base="5">
        <rangePr groupBy="months" startDate="2023-04-01T00:00:00" endDate="2024-06-05T00:00:00"/>
        <groupItems count="14">
          <s v="&lt;01/04/2023"/>
          <s v="Jan"/>
          <s v="Feb"/>
          <s v="Mar"/>
          <s v="Apr"/>
          <s v="May"/>
          <s v="Jun"/>
          <s v="Jul"/>
          <s v="Aug"/>
          <s v="Sep"/>
          <s v="Oct"/>
          <s v="Nov"/>
          <s v="Dec"/>
          <s v="&gt;05/06/2024"/>
        </groupItems>
      </fieldGroup>
    </cacheField>
    <cacheField name="Technology" numFmtId="0">
      <sharedItems/>
    </cacheField>
    <cacheField name="Staff Allotment" numFmtId="0">
      <sharedItems/>
    </cacheField>
    <cacheField name="Quarters" numFmtId="0" databaseField="0">
      <fieldGroup base="5">
        <rangePr groupBy="quarters" startDate="2023-04-01T00:00:00" endDate="2024-06-05T00:00:00"/>
        <groupItems count="6">
          <s v="&lt;01/04/2023"/>
          <s v="Qtr1"/>
          <s v="Qtr2"/>
          <s v="Qtr3"/>
          <s v="Qtr4"/>
          <s v="&gt;05/06/2024"/>
        </groupItems>
      </fieldGroup>
    </cacheField>
    <cacheField name="Years" numFmtId="0" databaseField="0">
      <fieldGroup base="5">
        <rangePr groupBy="years" startDate="2023-04-01T00:00:00" endDate="2024-06-05T00:00:00"/>
        <groupItems count="4">
          <s v="&lt;01/04/2023"/>
          <s v="2023"/>
          <s v="2024"/>
          <s v="&gt;05/06/2024"/>
        </groupItems>
      </fieldGroup>
    </cacheField>
  </cacheFields>
  <extLst>
    <ext xmlns:x14="http://schemas.microsoft.com/office/spreadsheetml/2009/9/main" uri="{725AE2AE-9491-48be-B2B4-4EB974FC3084}">
      <x14:pivotCacheDefinition pivotCacheId="1588349005"/>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3">
  <r>
    <n v="13"/>
    <s v="Sreena"/>
    <s v="Female"/>
    <x v="0"/>
    <x v="0"/>
    <x v="0"/>
    <s v="DA"/>
    <s v="Jahsh"/>
  </r>
  <r>
    <n v="17"/>
    <s v="Hafsal"/>
    <s v="Male"/>
    <x v="0"/>
    <x v="1"/>
    <x v="1"/>
    <s v="Ds"/>
    <s v="Fasil"/>
  </r>
  <r>
    <n v="11"/>
    <s v="Bahu"/>
    <s v="Male"/>
    <x v="1"/>
    <x v="1"/>
    <x v="2"/>
    <s v="DM"/>
    <s v="Sahul"/>
  </r>
  <r>
    <n v="11"/>
    <s v="Sani"/>
    <s v="Female"/>
    <x v="0"/>
    <x v="0"/>
    <x v="3"/>
    <s v="DM"/>
    <s v="Sneha"/>
  </r>
  <r>
    <n v="10"/>
    <s v="Sharbin"/>
    <s v="Male"/>
    <x v="1"/>
    <x v="0"/>
    <x v="4"/>
    <s v="Video Editor"/>
    <s v="Vyas"/>
  </r>
  <r>
    <n v="9"/>
    <s v="Midhu"/>
    <s v="Male"/>
    <x v="0"/>
    <x v="0"/>
    <x v="5"/>
    <s v="Flutter"/>
    <s v="Sarath"/>
  </r>
  <r>
    <n v="8"/>
    <s v="Afsal"/>
    <s v="Male"/>
    <x v="0"/>
    <x v="0"/>
    <x v="6"/>
    <s v="Ds"/>
    <s v="Theertha"/>
  </r>
  <r>
    <n v="6"/>
    <s v="Fathima"/>
    <s v="Female"/>
    <x v="1"/>
    <x v="0"/>
    <x v="7"/>
    <s v="Mern"/>
    <s v="Vishnu"/>
  </r>
  <r>
    <n v="5"/>
    <s v="Rabeeh"/>
    <s v="Male"/>
    <x v="1"/>
    <x v="0"/>
    <x v="8"/>
    <s v="Flutter"/>
    <s v="Shahala"/>
  </r>
  <r>
    <n v="4"/>
    <s v="Shanif"/>
    <s v="Male"/>
    <x v="0"/>
    <x v="1"/>
    <x v="9"/>
    <s v="DM"/>
    <s v="Shaji"/>
  </r>
  <r>
    <n v="3"/>
    <s v="Rani"/>
    <s v="Female"/>
    <x v="1"/>
    <x v="0"/>
    <x v="10"/>
    <s v="Mern"/>
    <s v="Vishnu"/>
  </r>
  <r>
    <n v="2"/>
    <s v="Hafis"/>
    <s v="Male"/>
    <x v="0"/>
    <x v="0"/>
    <x v="11"/>
    <s v="DA"/>
    <s v="Jahsh"/>
  </r>
  <r>
    <n v="1"/>
    <s v="Sarath"/>
    <s v="Male"/>
    <x v="1"/>
    <x v="0"/>
    <x v="12"/>
    <s v="DM"/>
    <s v="Shaji"/>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558D1736-33F2-4A1A-8532-7E19243A7D4A}" name="PivotTable16" cacheId="5" applyNumberFormats="0" applyBorderFormats="0" applyFontFormats="0" applyPatternFormats="0" applyAlignmentFormats="0" applyWidthHeightFormats="1" dataCaption="Values" updatedVersion="7" minRefreshableVersion="3" useAutoFormatting="1" rowGrandTotals="0" colGrandTotals="0" itemPrintTitles="1" createdVersion="7" indent="0" compact="0" compactData="0" multipleFieldFilters="0" chartFormat="12">
  <location ref="E7:G9" firstHeaderRow="1" firstDataRow="2" firstDataCol="1"/>
  <pivotFields count="10">
    <pivotField compact="0" outline="0" showAll="0" defaultSubtotal="0">
      <extLst>
        <ext xmlns:x14="http://schemas.microsoft.com/office/spreadsheetml/2009/9/main" uri="{2946ED86-A175-432a-8AC1-64E0C546D7DE}">
          <x14:pivotField fillDownLabels="1"/>
        </ext>
      </extLst>
    </pivotField>
    <pivotField dataField="1"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Col" compact="0" outline="0" showAll="0" defaultSubtotal="0">
      <items count="2">
        <item x="1"/>
        <item x="0"/>
      </items>
      <extLst>
        <ext xmlns:x14="http://schemas.microsoft.com/office/spreadsheetml/2009/9/main" uri="{2946ED86-A175-432a-8AC1-64E0C546D7DE}">
          <x14:pivotField fillDownLabels="1"/>
        </ext>
      </extLst>
    </pivotField>
    <pivotField compact="0" numFmtId="14" outline="0" showAll="0" defaultSubtotal="0">
      <items count="14">
        <item x="0"/>
        <item x="1"/>
        <item x="2"/>
        <item x="3"/>
        <item x="4"/>
        <item x="5"/>
        <item x="6"/>
        <item x="7"/>
        <item x="8"/>
        <item x="9"/>
        <item x="10"/>
        <item x="11"/>
        <item x="12"/>
        <item x="13"/>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items count="7">
        <item x="0"/>
        <item x="1"/>
        <item x="2"/>
        <item x="3"/>
        <item x="4"/>
        <item x="5"/>
        <item t="default"/>
      </items>
      <extLst>
        <ext xmlns:x14="http://schemas.microsoft.com/office/spreadsheetml/2009/9/main" uri="{2946ED86-A175-432a-8AC1-64E0C546D7DE}">
          <x14:pivotField fillDownLabels="1"/>
        </ext>
      </extLst>
    </pivotField>
    <pivotField compact="0" outline="0" showAll="0">
      <items count="5">
        <item x="0"/>
        <item x="1"/>
        <item x="2"/>
        <item x="3"/>
        <item t="default"/>
      </items>
      <extLst>
        <ext xmlns:x14="http://schemas.microsoft.com/office/spreadsheetml/2009/9/main" uri="{2946ED86-A175-432a-8AC1-64E0C546D7DE}">
          <x14:pivotField fillDownLabels="1"/>
        </ext>
      </extLst>
    </pivotField>
  </pivotFields>
  <rowItems count="1">
    <i/>
  </rowItems>
  <colFields count="1">
    <field x="4"/>
  </colFields>
  <colItems count="2">
    <i>
      <x/>
    </i>
    <i>
      <x v="1"/>
    </i>
  </colItems>
  <dataFields count="1">
    <dataField name="Count of Name" fld="1" subtotal="count" baseField="0" baseItem="0"/>
  </dataFields>
  <chartFormats count="3">
    <chartFormat chart="3" format="2" series="1">
      <pivotArea type="data" outline="0" fieldPosition="0">
        <references count="1">
          <reference field="4294967294" count="1" selected="0">
            <x v="0"/>
          </reference>
        </references>
      </pivotArea>
    </chartFormat>
    <chartFormat chart="11" format="8" series="1">
      <pivotArea type="data" outline="0" fieldPosition="0">
        <references count="2">
          <reference field="4294967294" count="1" selected="0">
            <x v="0"/>
          </reference>
          <reference field="4" count="1" selected="0">
            <x v="0"/>
          </reference>
        </references>
      </pivotArea>
    </chartFormat>
    <chartFormat chart="11" format="9" series="1">
      <pivotArea type="data" outline="0" fieldPosition="0">
        <references count="2">
          <reference field="4294967294" count="1" selected="0">
            <x v="0"/>
          </reference>
          <reference field="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1011513B-BA3F-419A-BAB2-7AFDE461E13D}" name="PivotTable15" cacheId="5" applyNumberFormats="0" applyBorderFormats="0" applyFontFormats="0" applyPatternFormats="0" applyAlignmentFormats="0" applyWidthHeightFormats="1" dataCaption="Values" updatedVersion="7" minRefreshableVersion="3" useAutoFormatting="1" rowGrandTotals="0" colGrandTotals="0" itemPrintTitles="1" createdVersion="7" indent="0" compact="0" compactData="0" multipleFieldFilters="0" chartFormat="4">
  <location ref="A3:B5" firstHeaderRow="1" firstDataRow="1" firstDataCol="1"/>
  <pivotFields count="10">
    <pivotField compact="0" outline="0" showAll="0" defaultSubtotal="0">
      <extLst>
        <ext xmlns:x14="http://schemas.microsoft.com/office/spreadsheetml/2009/9/main" uri="{2946ED86-A175-432a-8AC1-64E0C546D7DE}">
          <x14:pivotField fillDownLabels="1"/>
        </ext>
      </extLst>
    </pivotField>
    <pivotField dataField="1"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Row" compact="0" outline="0" showAll="0" defaultSubtotal="0">
      <items count="2">
        <item x="0"/>
        <item x="1"/>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numFmtId="14" outline="0" showAll="0" defaultSubtotal="0">
      <items count="14">
        <item x="0"/>
        <item x="1"/>
        <item x="2"/>
        <item x="3"/>
        <item x="4"/>
        <item x="5"/>
        <item x="6"/>
        <item x="7"/>
        <item x="8"/>
        <item x="9"/>
        <item x="10"/>
        <item x="11"/>
        <item x="12"/>
        <item x="13"/>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items count="7">
        <item x="0"/>
        <item x="1"/>
        <item x="2"/>
        <item x="3"/>
        <item x="4"/>
        <item x="5"/>
        <item t="default"/>
      </items>
      <extLst>
        <ext xmlns:x14="http://schemas.microsoft.com/office/spreadsheetml/2009/9/main" uri="{2946ED86-A175-432a-8AC1-64E0C546D7DE}">
          <x14:pivotField fillDownLabels="1"/>
        </ext>
      </extLst>
    </pivotField>
    <pivotField compact="0" outline="0" showAll="0">
      <items count="5">
        <item x="0"/>
        <item x="1"/>
        <item x="2"/>
        <item x="3"/>
        <item t="default"/>
      </items>
      <extLst>
        <ext xmlns:x14="http://schemas.microsoft.com/office/spreadsheetml/2009/9/main" uri="{2946ED86-A175-432a-8AC1-64E0C546D7DE}">
          <x14:pivotField fillDownLabels="1"/>
        </ext>
      </extLst>
    </pivotField>
  </pivotFields>
  <rowFields count="1">
    <field x="3"/>
  </rowFields>
  <rowItems count="2">
    <i>
      <x/>
    </i>
    <i>
      <x v="1"/>
    </i>
  </rowItems>
  <colItems count="1">
    <i/>
  </colItems>
  <dataFields count="1">
    <dataField name="Count of Name" fld="1" subtotal="count" baseField="0" baseItem="0"/>
  </dataFields>
  <chartFormats count="1">
    <chartFormat chart="3"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4174E916-28D7-4C39-8D98-A7F2B1809D22}" name="PivotTable20" cacheId="5" applyNumberFormats="0" applyBorderFormats="0" applyFontFormats="0" applyPatternFormats="0" applyAlignmentFormats="0" applyWidthHeightFormats="1" dataCaption="Values" updatedVersion="7" minRefreshableVersion="3" useAutoFormatting="1" rowGrandTotals="0" colGrandTotals="0" itemPrintTitles="1" createdVersion="7" indent="0" compact="0" compactData="0" multipleFieldFilters="0" chartFormat="21">
  <location ref="H15:I20" firstHeaderRow="1" firstDataRow="1" firstDataCol="1"/>
  <pivotFields count="10">
    <pivotField compact="0" outline="0" showAll="0" defaultSubtotal="0">
      <extLst>
        <ext xmlns:x14="http://schemas.microsoft.com/office/spreadsheetml/2009/9/main" uri="{2946ED86-A175-432a-8AC1-64E0C546D7DE}">
          <x14:pivotField fillDownLabels="1"/>
        </ext>
      </extLst>
    </pivotField>
    <pivotField dataField="1"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Row" compact="0" numFmtId="14" outline="0" showAll="0" defaultSubtotal="0">
      <items count="14">
        <item x="0"/>
        <item x="1"/>
        <item x="2"/>
        <item x="3"/>
        <item x="4"/>
        <item x="5"/>
        <item x="6"/>
        <item x="7"/>
        <item x="8"/>
        <item x="9"/>
        <item x="10"/>
        <item x="11"/>
        <item x="12"/>
        <item x="13"/>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items count="7">
        <item sd="0" x="0"/>
        <item sd="0" x="1"/>
        <item sd="0" x="2"/>
        <item sd="0" x="3"/>
        <item sd="0" x="4"/>
        <item sd="0" x="5"/>
        <item t="default"/>
      </items>
      <extLst>
        <ext xmlns:x14="http://schemas.microsoft.com/office/spreadsheetml/2009/9/main" uri="{2946ED86-A175-432a-8AC1-64E0C546D7DE}">
          <x14:pivotField fillDownLabels="1"/>
        </ext>
      </extLst>
    </pivotField>
    <pivotField compact="0" outline="0" showAll="0">
      <items count="5">
        <item sd="0" x="0"/>
        <item sd="0" x="1"/>
        <item sd="0" x="2"/>
        <item sd="0" x="3"/>
        <item t="default"/>
      </items>
      <extLst>
        <ext xmlns:x14="http://schemas.microsoft.com/office/spreadsheetml/2009/9/main" uri="{2946ED86-A175-432a-8AC1-64E0C546D7DE}">
          <x14:pivotField fillDownLabels="1"/>
        </ext>
      </extLst>
    </pivotField>
  </pivotFields>
  <rowFields count="1">
    <field x="5"/>
  </rowFields>
  <rowItems count="5">
    <i>
      <x v="4"/>
    </i>
    <i>
      <x v="5"/>
    </i>
    <i>
      <x v="6"/>
    </i>
    <i>
      <x v="7"/>
    </i>
    <i>
      <x v="12"/>
    </i>
  </rowItems>
  <colItems count="1">
    <i/>
  </colItems>
  <dataFields count="1">
    <dataField name="Count of Name" fld="1" subtotal="count" baseField="0" baseItem="0"/>
  </dataFields>
  <chartFormats count="2">
    <chartFormat chart="3" format="2" series="1">
      <pivotArea type="data" outline="0" fieldPosition="0">
        <references count="1">
          <reference field="4294967294" count="1" selected="0">
            <x v="0"/>
          </reference>
        </references>
      </pivotArea>
    </chartFormat>
    <chartFormat chart="20"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4D49D825-3779-4B35-873F-9F745A4EBB33}" name="PivotTable19" cacheId="5" applyNumberFormats="0" applyBorderFormats="0" applyFontFormats="0" applyPatternFormats="0" applyAlignmentFormats="0" applyWidthHeightFormats="1" dataCaption="Values" updatedVersion="7" minRefreshableVersion="3" useAutoFormatting="1" rowGrandTotals="0" colGrandTotals="0" itemPrintTitles="1" createdVersion="7" indent="0" compact="0" compactData="0" multipleFieldFilters="0" chartFormat="15">
  <location ref="K11:K12" firstHeaderRow="1" firstDataRow="2" firstDataCol="0"/>
  <pivotFields count="10">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numFmtId="14" outline="0" showAll="0" defaultSubtotal="0">
      <items count="14">
        <item x="0"/>
        <item x="1"/>
        <item x="2"/>
        <item x="3"/>
        <item x="4"/>
        <item x="5"/>
        <item x="6"/>
        <item x="7"/>
        <item x="8"/>
        <item x="9"/>
        <item x="10"/>
        <item x="11"/>
        <item x="12"/>
        <item x="13"/>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items count="7">
        <item sd="0" x="0"/>
        <item sd="0" x="1"/>
        <item sd="0" x="2"/>
        <item sd="0" x="3"/>
        <item sd="0" x="4"/>
        <item sd="0" x="5"/>
        <item t="default"/>
      </items>
      <extLst>
        <ext xmlns:x14="http://schemas.microsoft.com/office/spreadsheetml/2009/9/main" uri="{2946ED86-A175-432a-8AC1-64E0C546D7DE}">
          <x14:pivotField fillDownLabels="1"/>
        </ext>
      </extLst>
    </pivotField>
    <pivotField axis="axisCol" compact="0" outline="0" showAll="0">
      <items count="5">
        <item sd="0" x="0"/>
        <item h="1" sd="0" x="1"/>
        <item h="1" sd="0" x="2"/>
        <item h="1" sd="0" x="3"/>
        <item t="default"/>
      </items>
      <extLst>
        <ext xmlns:x14="http://schemas.microsoft.com/office/spreadsheetml/2009/9/main" uri="{2946ED86-A175-432a-8AC1-64E0C546D7DE}">
          <x14:pivotField fillDownLabels="1"/>
        </ext>
      </extLst>
    </pivotField>
  </pivotFields>
  <rowItems count="1">
    <i/>
  </rowItems>
  <colFields count="1">
    <field x="9"/>
  </col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Join_Date" xr10:uid="{7105480E-D215-47F2-A6C2-57D73C62E532}" sourceName="Join Date">
  <pivotTables>
    <pivotTable tabId="13" name="PivotTable19"/>
  </pivotTables>
  <data>
    <tabular pivotCacheId="1588349005">
      <items count="14">
        <i x="1" s="1" nd="1"/>
        <i x="2" s="1" nd="1"/>
        <i x="3" s="1" nd="1"/>
        <i x="4" s="1" nd="1"/>
        <i x="5" s="1" nd="1"/>
        <i x="6" s="1" nd="1"/>
        <i x="7" s="1" nd="1"/>
        <i x="8" s="1" nd="1"/>
        <i x="9" s="1" nd="1"/>
        <i x="10" s="1" nd="1"/>
        <i x="11" s="1" nd="1"/>
        <i x="12" s="1" nd="1"/>
        <i x="0" s="1" nd="1"/>
        <i x="13"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Join Date" xr10:uid="{D670FD70-46A3-4AF3-9529-0A8E88021D91}" cache="Slicer_Join_Date" caption="Join Date" startItem="7" rowHeight="23495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8678E0D-9FB7-441C-ACBB-1BF92D247596}" name="Table1" displayName="Table1" ref="B7:H19" totalsRowShown="0" headerRowDxfId="9" headerRowBorderDxfId="8" tableBorderDxfId="7">
  <autoFilter ref="B7:H19" xr:uid="{58678E0D-9FB7-441C-ACBB-1BF92D247596}">
    <filterColumn colId="0" hiddenButton="1"/>
    <filterColumn colId="1" hiddenButton="1"/>
    <filterColumn colId="2" hiddenButton="1"/>
    <filterColumn colId="3" hiddenButton="1"/>
    <filterColumn colId="4" hiddenButton="1"/>
    <filterColumn colId="5" hiddenButton="1"/>
    <filterColumn colId="6" hiddenButton="1"/>
  </autoFilter>
  <tableColumns count="7">
    <tableColumn id="1" xr3:uid="{24E875F3-18C3-40F4-8813-92B159D3EDB8}" name="stu_id" dataDxfId="6"/>
    <tableColumn id="2" xr3:uid="{428ED958-1A5E-4354-815D-CCF1947531C8}" name="Name" dataDxfId="5">
      <calculatedColumnFormula>_xlfn.XLOOKUP(B8,Sheet2!A:A,Sheet2!B:B,"no intern",0,1)</calculatedColumnFormula>
    </tableColumn>
    <tableColumn id="3" xr3:uid="{DCCDFE5E-0D69-4288-A97D-B0EF8F661F6F}" name="Course" dataDxfId="4">
      <calculatedColumnFormula>_xlfn.XLOOKUP(B8,Sheet2!A:A,Sheet2!C:C,"0",0,1)</calculatedColumnFormula>
    </tableColumn>
    <tableColumn id="4" xr3:uid="{25D13DDD-9B61-4FCA-AA7B-D388F0EA0E00}" name="Age" dataDxfId="3">
      <calculatedColumnFormula>_xlfn.XLOOKUP(B8,Sheet2!A:A,Sheet2!D:D,"not mention",0,1)</calculatedColumnFormula>
    </tableColumn>
    <tableColumn id="5" xr3:uid="{20B5AAFD-E91B-4186-994E-F5F766D9CB99}" name="Evaluation 1" dataDxfId="2"/>
    <tableColumn id="6" xr3:uid="{49A75FF6-AC3F-4115-A156-A27B4E542592}" name="Evaluation 2" dataDxfId="1"/>
    <tableColumn id="7" xr3:uid="{D6742066-1BBB-4033-998B-8A00C0B5343B}" name="Total" dataDxfId="0">
      <calculatedColumnFormula>IF(F8="","",F8+G8)</calculatedColumnFormula>
    </tableColumn>
  </tableColumns>
  <tableStyleInfo name="TableStyleMedium2" showFirstColumn="0" showLastColumn="0" showRowStripes="0"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table" Target="../tables/table1.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2.xml"/><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2.bin"/><Relationship Id="rId4" Type="http://schemas.openxmlformats.org/officeDocument/2006/relationships/ctrlProp" Target="../ctrlProps/ctrlProp5.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6.xml"/><Relationship Id="rId2" Type="http://schemas.openxmlformats.org/officeDocument/2006/relationships/vmlDrawing" Target="../drawings/vmlDrawing4.vml"/><Relationship Id="rId1" Type="http://schemas.openxmlformats.org/officeDocument/2006/relationships/drawing" Target="../drawings/drawing4.xml"/><Relationship Id="rId6" Type="http://schemas.openxmlformats.org/officeDocument/2006/relationships/ctrlProp" Target="../ctrlProps/ctrlProp9.xml"/><Relationship Id="rId5" Type="http://schemas.openxmlformats.org/officeDocument/2006/relationships/ctrlProp" Target="../ctrlProps/ctrlProp8.xml"/><Relationship Id="rId4" Type="http://schemas.openxmlformats.org/officeDocument/2006/relationships/ctrlProp" Target="../ctrlProps/ctrlProp7.xml"/></Relationships>
</file>

<file path=xl/worksheets/_rels/sheet8.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microsoft.com/office/2007/relationships/slicer" Target="../slicers/slicer1.xml"/><Relationship Id="rId5" Type="http://schemas.openxmlformats.org/officeDocument/2006/relationships/drawing" Target="../drawings/drawing5.xml"/><Relationship Id="rId4" Type="http://schemas.openxmlformats.org/officeDocument/2006/relationships/pivotTable" Target="../pivotTables/pivotTable4.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6.xml"/><Relationship Id="rId1" Type="http://schemas.openxmlformats.org/officeDocument/2006/relationships/printerSettings" Target="../printerSettings/printerSettings3.bin"/><Relationship Id="rId4" Type="http://schemas.openxmlformats.org/officeDocument/2006/relationships/ctrlProp" Target="../ctrlProps/ctrlProp10.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08B2DB-0F21-426B-BE84-7523E93DC8CD}">
  <sheetPr codeName="Sheet1"/>
  <dimension ref="B3:H19"/>
  <sheetViews>
    <sheetView tabSelected="1" workbookViewId="0">
      <selection activeCell="J12" sqref="J12"/>
    </sheetView>
  </sheetViews>
  <sheetFormatPr defaultColWidth="12.44140625" defaultRowHeight="14.4" x14ac:dyDescent="0.3"/>
  <cols>
    <col min="6" max="7" width="13.21875" customWidth="1"/>
  </cols>
  <sheetData>
    <row r="3" spans="2:8" x14ac:dyDescent="0.3">
      <c r="D3" s="3" t="s">
        <v>0</v>
      </c>
      <c r="F3" s="1" t="s">
        <v>1</v>
      </c>
    </row>
    <row r="4" spans="2:8" x14ac:dyDescent="0.3">
      <c r="D4" s="2">
        <f ca="1">TODAY()</f>
        <v>45457</v>
      </c>
      <c r="F4" s="1" t="s">
        <v>40</v>
      </c>
    </row>
    <row r="7" spans="2:8" x14ac:dyDescent="0.3">
      <c r="B7" s="15" t="s">
        <v>2</v>
      </c>
      <c r="C7" s="24" t="s">
        <v>3</v>
      </c>
      <c r="D7" s="24" t="s">
        <v>4</v>
      </c>
      <c r="E7" s="24" t="s">
        <v>5</v>
      </c>
      <c r="F7" s="25" t="s">
        <v>6</v>
      </c>
      <c r="G7" s="25" t="s">
        <v>7</v>
      </c>
      <c r="H7" s="13" t="s">
        <v>8</v>
      </c>
    </row>
    <row r="8" spans="2:8" x14ac:dyDescent="0.3">
      <c r="B8" s="22" t="s">
        <v>9</v>
      </c>
      <c r="C8" s="1" t="s">
        <v>20</v>
      </c>
      <c r="D8" s="1" t="s">
        <v>31</v>
      </c>
      <c r="E8" s="1">
        <v>24</v>
      </c>
      <c r="F8" s="1">
        <v>9</v>
      </c>
      <c r="G8" s="5">
        <v>8.6</v>
      </c>
      <c r="H8" s="23">
        <f>IF(F8="","",F8+G8)</f>
        <v>17.600000000000001</v>
      </c>
    </row>
    <row r="9" spans="2:8" x14ac:dyDescent="0.3">
      <c r="B9" s="22" t="s">
        <v>10</v>
      </c>
      <c r="C9" s="1" t="s">
        <v>21</v>
      </c>
      <c r="D9" s="1" t="s">
        <v>32</v>
      </c>
      <c r="E9" s="1">
        <v>23</v>
      </c>
      <c r="F9" s="1">
        <v>8</v>
      </c>
      <c r="G9" s="1">
        <v>8</v>
      </c>
      <c r="H9" s="23">
        <f t="shared" ref="H9:H19" si="0">IF(F9="","",F9+G9)</f>
        <v>16</v>
      </c>
    </row>
    <row r="10" spans="2:8" x14ac:dyDescent="0.3">
      <c r="B10" s="22" t="s">
        <v>11</v>
      </c>
      <c r="C10" s="1" t="s">
        <v>22</v>
      </c>
      <c r="D10" s="1" t="s">
        <v>33</v>
      </c>
      <c r="E10" s="1">
        <v>25</v>
      </c>
      <c r="F10" s="1">
        <v>7</v>
      </c>
      <c r="G10" s="1">
        <v>9</v>
      </c>
      <c r="H10" s="23">
        <f t="shared" si="0"/>
        <v>16</v>
      </c>
    </row>
    <row r="11" spans="2:8" x14ac:dyDescent="0.3">
      <c r="B11" s="22" t="s">
        <v>12</v>
      </c>
      <c r="C11" s="1" t="s">
        <v>23</v>
      </c>
      <c r="D11" s="1" t="s">
        <v>32</v>
      </c>
      <c r="E11" s="1">
        <v>25</v>
      </c>
      <c r="F11" s="1">
        <v>9</v>
      </c>
      <c r="G11" s="1">
        <v>6</v>
      </c>
      <c r="H11" s="23">
        <f t="shared" si="0"/>
        <v>15</v>
      </c>
    </row>
    <row r="12" spans="2:8" x14ac:dyDescent="0.3">
      <c r="B12" s="22" t="s">
        <v>13</v>
      </c>
      <c r="C12" s="1" t="s">
        <v>24</v>
      </c>
      <c r="D12" s="1" t="s">
        <v>34</v>
      </c>
      <c r="E12" s="1">
        <v>22</v>
      </c>
      <c r="F12" s="1">
        <v>9</v>
      </c>
      <c r="G12" s="1"/>
      <c r="H12" s="23">
        <f t="shared" si="0"/>
        <v>9</v>
      </c>
    </row>
    <row r="13" spans="2:8" x14ac:dyDescent="0.3">
      <c r="B13" s="22" t="s">
        <v>14</v>
      </c>
      <c r="C13" s="1" t="s">
        <v>25</v>
      </c>
      <c r="D13" s="1" t="s">
        <v>31</v>
      </c>
      <c r="E13" s="1">
        <v>21</v>
      </c>
      <c r="F13" s="1">
        <v>9.5</v>
      </c>
      <c r="G13" s="1"/>
      <c r="H13" s="23">
        <f t="shared" si="0"/>
        <v>9.5</v>
      </c>
    </row>
    <row r="14" spans="2:8" x14ac:dyDescent="0.3">
      <c r="B14" s="22" t="s">
        <v>15</v>
      </c>
      <c r="C14" s="1" t="str">
        <f>_xlfn.XLOOKUP(B14,Sheet2!A:A,Sheet2!B:B,"no intern",0,1)</f>
        <v>Basith</v>
      </c>
      <c r="D14" s="1" t="str">
        <f>_xlfn.XLOOKUP(B14,Sheet2!A:A,Sheet2!C:C,"0",0,1)</f>
        <v>Flutter</v>
      </c>
      <c r="E14" s="1">
        <f>_xlfn.XLOOKUP(B14,Sheet2!A:A,Sheet2!D:D,"not mention",0,1)</f>
        <v>26</v>
      </c>
      <c r="F14" s="1"/>
      <c r="G14" s="1"/>
      <c r="H14" s="23" t="str">
        <f t="shared" si="0"/>
        <v/>
      </c>
    </row>
    <row r="15" spans="2:8" x14ac:dyDescent="0.3">
      <c r="B15" s="22" t="s">
        <v>16</v>
      </c>
      <c r="C15" s="1" t="str">
        <f>_xlfn.XLOOKUP(B15,Sheet2!A:A,Sheet2!B:B,"no intern",0,1)</f>
        <v>Vyas</v>
      </c>
      <c r="D15" s="1" t="str">
        <f>_xlfn.XLOOKUP(B15,Sheet2!A:A,Sheet2!C:C,"0",0,1)</f>
        <v>Mern</v>
      </c>
      <c r="E15" s="1">
        <f>_xlfn.XLOOKUP(B15,Sheet2!A:A,Sheet2!D:D,"not mention",0,1)</f>
        <v>25</v>
      </c>
      <c r="F15" s="1"/>
      <c r="G15" s="1"/>
      <c r="H15" s="23" t="str">
        <f t="shared" si="0"/>
        <v/>
      </c>
    </row>
    <row r="16" spans="2:8" x14ac:dyDescent="0.3">
      <c r="B16" s="22" t="s">
        <v>17</v>
      </c>
      <c r="C16" s="1" t="str">
        <f>_xlfn.XLOOKUP(B16,Sheet2!A:A,Sheet2!B:B,"no intern",0,1)</f>
        <v>Shahal</v>
      </c>
      <c r="D16" s="1" t="str">
        <f>_xlfn.XLOOKUP(B16,Sheet2!A:A,Sheet2!C:C,"0",0,1)</f>
        <v>Da</v>
      </c>
      <c r="E16" s="1">
        <f>_xlfn.XLOOKUP(B16,Sheet2!A:A,Sheet2!D:D,"not mention",0,1)</f>
        <v>24</v>
      </c>
      <c r="F16" s="1"/>
      <c r="G16" s="1"/>
      <c r="H16" s="23" t="str">
        <f t="shared" si="0"/>
        <v/>
      </c>
    </row>
    <row r="17" spans="2:8" x14ac:dyDescent="0.3">
      <c r="B17" s="22" t="s">
        <v>18</v>
      </c>
      <c r="C17" s="1" t="str">
        <f>_xlfn.XLOOKUP(B17,Sheet2!A:A,Sheet2!B:B,"no intern",0,1)</f>
        <v>Rishan</v>
      </c>
      <c r="D17" s="1" t="str">
        <f>_xlfn.XLOOKUP(B17,Sheet2!A:A,Sheet2!C:C,"0",0,1)</f>
        <v>Dm</v>
      </c>
      <c r="E17" s="1">
        <f>_xlfn.XLOOKUP(B17,Sheet2!A:A,Sheet2!D:D,"not mention",0,1)</f>
        <v>23</v>
      </c>
      <c r="F17" s="1"/>
      <c r="G17" s="1"/>
      <c r="H17" s="23" t="str">
        <f t="shared" si="0"/>
        <v/>
      </c>
    </row>
    <row r="18" spans="2:8" x14ac:dyDescent="0.3">
      <c r="B18" s="22" t="s">
        <v>19</v>
      </c>
      <c r="C18" s="1" t="str">
        <f>_xlfn.XLOOKUP(B18,Sheet2!A:A,Sheet2!B:B,"no intern",0,1)</f>
        <v>Rahul</v>
      </c>
      <c r="D18" s="1" t="str">
        <f>_xlfn.XLOOKUP(B18,Sheet2!A:A,Sheet2!C:C,"0",0,1)</f>
        <v>Da</v>
      </c>
      <c r="E18" s="1">
        <f>_xlfn.XLOOKUP(B18,Sheet2!A:A,Sheet2!D:D,"not mention",0,1)</f>
        <v>23</v>
      </c>
      <c r="F18" s="1"/>
      <c r="G18" s="1"/>
      <c r="H18" s="23" t="str">
        <f t="shared" si="0"/>
        <v/>
      </c>
    </row>
    <row r="19" spans="2:8" x14ac:dyDescent="0.3">
      <c r="B19" s="4" t="s">
        <v>37</v>
      </c>
      <c r="C19" s="1" t="str">
        <f>_xlfn.XLOOKUP(B19,Sheet2!A:A,Sheet2!B:B,"no intern",0,1)</f>
        <v>Praveen</v>
      </c>
      <c r="D19" s="1" t="str">
        <f>_xlfn.XLOOKUP(B19,Sheet2!A:A,Sheet2!C:C,"0",0,1)</f>
        <v>ds</v>
      </c>
      <c r="E19" s="1">
        <f>_xlfn.XLOOKUP(B19,Sheet2!A:A,Sheet2!D:D,"not mention",0,1)</f>
        <v>0</v>
      </c>
      <c r="H19" s="23" t="str">
        <f t="shared" si="0"/>
        <v/>
      </c>
    </row>
  </sheetData>
  <phoneticPr fontId="1" type="noConversion"/>
  <pageMargins left="0.7" right="0.7" top="0.75" bottom="0.75" header="0.3" footer="0.3"/>
  <pageSetup paperSize="9" orientation="portrait" horizontalDpi="4294967293"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1]!ExportToPDF">
                <anchor moveWithCells="1" sizeWithCells="1">
                  <from>
                    <xdr:col>9</xdr:col>
                    <xdr:colOff>266700</xdr:colOff>
                    <xdr:row>4</xdr:row>
                    <xdr:rowOff>76200</xdr:rowOff>
                  </from>
                  <to>
                    <xdr:col>10</xdr:col>
                    <xdr:colOff>251460</xdr:colOff>
                    <xdr:row>6</xdr:row>
                    <xdr:rowOff>0</xdr:rowOff>
                  </to>
                </anchor>
              </controlPr>
            </control>
          </mc:Choice>
        </mc:AlternateContent>
      </controls>
    </mc:Choice>
  </mc:AlternateContent>
  <tableParts count="1">
    <tablePart r:id="rId5"/>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C19F1F-6E46-45F2-9DA1-CDC9E7F19EDC}">
  <sheetPr codeName="Sheet2"/>
  <dimension ref="A1:D13"/>
  <sheetViews>
    <sheetView workbookViewId="0">
      <selection activeCell="C14" sqref="C14"/>
    </sheetView>
  </sheetViews>
  <sheetFormatPr defaultRowHeight="14.4" x14ac:dyDescent="0.3"/>
  <sheetData>
    <row r="1" spans="1:4" x14ac:dyDescent="0.3">
      <c r="A1" s="1" t="s">
        <v>2</v>
      </c>
      <c r="B1" s="1" t="s">
        <v>3</v>
      </c>
      <c r="C1" s="1" t="s">
        <v>4</v>
      </c>
      <c r="D1" s="1" t="s">
        <v>5</v>
      </c>
    </row>
    <row r="2" spans="1:4" x14ac:dyDescent="0.3">
      <c r="A2" s="1" t="s">
        <v>9</v>
      </c>
      <c r="B2" s="1" t="s">
        <v>20</v>
      </c>
      <c r="C2" s="1" t="s">
        <v>31</v>
      </c>
      <c r="D2" s="1">
        <v>24</v>
      </c>
    </row>
    <row r="3" spans="1:4" x14ac:dyDescent="0.3">
      <c r="A3" s="1" t="s">
        <v>10</v>
      </c>
      <c r="B3" s="1" t="s">
        <v>21</v>
      </c>
      <c r="C3" s="1" t="s">
        <v>32</v>
      </c>
      <c r="D3" s="1">
        <v>23</v>
      </c>
    </row>
    <row r="4" spans="1:4" x14ac:dyDescent="0.3">
      <c r="A4" s="1" t="s">
        <v>11</v>
      </c>
      <c r="B4" s="1" t="s">
        <v>22</v>
      </c>
      <c r="C4" s="1" t="s">
        <v>33</v>
      </c>
      <c r="D4" s="1">
        <v>25</v>
      </c>
    </row>
    <row r="5" spans="1:4" x14ac:dyDescent="0.3">
      <c r="A5" s="1" t="s">
        <v>12</v>
      </c>
      <c r="B5" s="1" t="s">
        <v>23</v>
      </c>
      <c r="C5" s="1" t="s">
        <v>32</v>
      </c>
      <c r="D5" s="1">
        <v>25</v>
      </c>
    </row>
    <row r="6" spans="1:4" x14ac:dyDescent="0.3">
      <c r="A6" s="1" t="s">
        <v>13</v>
      </c>
      <c r="B6" s="1" t="s">
        <v>24</v>
      </c>
      <c r="C6" s="1" t="s">
        <v>34</v>
      </c>
      <c r="D6" s="1">
        <v>22</v>
      </c>
    </row>
    <row r="7" spans="1:4" x14ac:dyDescent="0.3">
      <c r="A7" s="1" t="s">
        <v>14</v>
      </c>
      <c r="B7" s="1" t="s">
        <v>25</v>
      </c>
      <c r="C7" s="1" t="s">
        <v>31</v>
      </c>
      <c r="D7" s="1">
        <v>21</v>
      </c>
    </row>
    <row r="8" spans="1:4" x14ac:dyDescent="0.3">
      <c r="A8" s="1" t="s">
        <v>15</v>
      </c>
      <c r="B8" s="1" t="s">
        <v>26</v>
      </c>
      <c r="C8" s="1" t="s">
        <v>35</v>
      </c>
      <c r="D8" s="1">
        <v>26</v>
      </c>
    </row>
    <row r="9" spans="1:4" x14ac:dyDescent="0.3">
      <c r="A9" s="1" t="s">
        <v>16</v>
      </c>
      <c r="B9" s="1" t="s">
        <v>27</v>
      </c>
      <c r="C9" s="1" t="s">
        <v>33</v>
      </c>
      <c r="D9" s="1">
        <v>25</v>
      </c>
    </row>
    <row r="10" spans="1:4" x14ac:dyDescent="0.3">
      <c r="A10" s="1" t="s">
        <v>17</v>
      </c>
      <c r="B10" s="1" t="s">
        <v>28</v>
      </c>
      <c r="C10" s="1" t="s">
        <v>34</v>
      </c>
      <c r="D10" s="1">
        <v>24</v>
      </c>
    </row>
    <row r="11" spans="1:4" x14ac:dyDescent="0.3">
      <c r="A11" s="1" t="s">
        <v>18</v>
      </c>
      <c r="B11" s="1" t="s">
        <v>29</v>
      </c>
      <c r="C11" s="1" t="s">
        <v>36</v>
      </c>
      <c r="D11" s="1">
        <v>23</v>
      </c>
    </row>
    <row r="12" spans="1:4" x14ac:dyDescent="0.3">
      <c r="A12" s="1" t="s">
        <v>19</v>
      </c>
      <c r="B12" s="1" t="s">
        <v>30</v>
      </c>
      <c r="C12" s="1" t="s">
        <v>34</v>
      </c>
      <c r="D12" s="1">
        <v>23</v>
      </c>
    </row>
    <row r="13" spans="1:4" x14ac:dyDescent="0.3">
      <c r="A13" s="6" t="s">
        <v>37</v>
      </c>
      <c r="B13" s="6" t="s">
        <v>38</v>
      </c>
      <c r="C13" s="6" t="s">
        <v>39</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0B48AE-5CD1-469A-AFD5-59C87C7A1052}">
  <sheetPr codeName="Sheet3"/>
  <dimension ref="C2:K27"/>
  <sheetViews>
    <sheetView showGridLines="0" workbookViewId="0">
      <selection activeCell="F7" sqref="F7"/>
    </sheetView>
  </sheetViews>
  <sheetFormatPr defaultRowHeight="14.4" x14ac:dyDescent="0.3"/>
  <cols>
    <col min="1" max="3" width="8.88671875" style="16"/>
    <col min="4" max="4" width="10" style="16" bestFit="1" customWidth="1"/>
    <col min="5" max="6" width="8.88671875" style="16"/>
    <col min="7" max="7" width="10.77734375" style="16" bestFit="1" customWidth="1"/>
    <col min="8" max="16384" width="8.88671875" style="16"/>
  </cols>
  <sheetData>
    <row r="2" spans="3:11" x14ac:dyDescent="0.3">
      <c r="C2" s="7"/>
      <c r="D2" s="8"/>
      <c r="E2" s="8"/>
      <c r="F2" s="8"/>
      <c r="G2" s="8"/>
      <c r="H2" s="8"/>
      <c r="I2" s="8"/>
      <c r="J2" s="8"/>
      <c r="K2" s="9"/>
    </row>
    <row r="3" spans="3:11" x14ac:dyDescent="0.3">
      <c r="C3" s="10"/>
      <c r="D3" s="48" t="s">
        <v>46</v>
      </c>
      <c r="E3" s="49"/>
      <c r="F3" s="49"/>
      <c r="G3" s="11"/>
      <c r="H3" s="11"/>
      <c r="I3" s="11"/>
      <c r="J3" s="11"/>
      <c r="K3" s="12"/>
    </row>
    <row r="4" spans="3:11" x14ac:dyDescent="0.3">
      <c r="C4" s="10"/>
      <c r="D4" s="49"/>
      <c r="E4" s="49"/>
      <c r="F4" s="49"/>
      <c r="G4" s="11"/>
      <c r="H4" s="11"/>
      <c r="I4" s="11"/>
      <c r="J4" s="11"/>
      <c r="K4" s="12"/>
    </row>
    <row r="5" spans="3:11" x14ac:dyDescent="0.3">
      <c r="C5" s="10"/>
      <c r="D5" s="11"/>
      <c r="E5" s="11"/>
      <c r="F5" s="11"/>
      <c r="G5" s="11"/>
      <c r="H5" s="11"/>
      <c r="I5" s="11"/>
      <c r="J5" s="11"/>
      <c r="K5" s="12"/>
    </row>
    <row r="6" spans="3:11" x14ac:dyDescent="0.3">
      <c r="C6" s="10"/>
      <c r="D6" s="11" t="s">
        <v>47</v>
      </c>
      <c r="E6" s="11"/>
      <c r="F6" s="11" t="s">
        <v>64</v>
      </c>
      <c r="G6" s="11"/>
      <c r="H6" s="11"/>
      <c r="I6" s="11"/>
      <c r="J6" s="11"/>
      <c r="K6" s="12"/>
    </row>
    <row r="7" spans="3:11" x14ac:dyDescent="0.3">
      <c r="C7" s="10"/>
      <c r="D7" s="11" t="s">
        <v>41</v>
      </c>
      <c r="E7" s="11"/>
      <c r="F7" s="11"/>
      <c r="G7" s="11" t="s">
        <v>43</v>
      </c>
      <c r="H7" s="20"/>
      <c r="I7" s="20"/>
      <c r="J7" s="11"/>
      <c r="K7" s="12"/>
    </row>
    <row r="8" spans="3:11" x14ac:dyDescent="0.3">
      <c r="C8" s="10"/>
      <c r="D8" s="11" t="s">
        <v>42</v>
      </c>
      <c r="E8" s="11"/>
      <c r="F8" s="11" t="s">
        <v>65</v>
      </c>
      <c r="G8" s="11" t="s">
        <v>44</v>
      </c>
      <c r="H8" s="20"/>
      <c r="I8" s="11"/>
      <c r="J8" s="11"/>
      <c r="K8" s="12"/>
    </row>
    <row r="9" spans="3:11" x14ac:dyDescent="0.3">
      <c r="C9" s="10"/>
      <c r="D9" s="11"/>
      <c r="E9" s="11"/>
      <c r="F9" s="11"/>
      <c r="G9" s="11"/>
      <c r="H9" s="11"/>
      <c r="I9" s="11"/>
      <c r="J9" s="11"/>
      <c r="K9" s="12"/>
    </row>
    <row r="10" spans="3:11" x14ac:dyDescent="0.3">
      <c r="C10" s="10"/>
      <c r="D10" s="11" t="s">
        <v>5</v>
      </c>
      <c r="E10" s="11"/>
      <c r="F10" s="11"/>
      <c r="G10" s="11" t="s">
        <v>45</v>
      </c>
      <c r="H10" s="11"/>
      <c r="I10" s="11"/>
      <c r="J10" s="11"/>
      <c r="K10" s="12"/>
    </row>
    <row r="11" spans="3:11" x14ac:dyDescent="0.3">
      <c r="C11" s="10"/>
      <c r="D11" s="11"/>
      <c r="E11" s="11"/>
      <c r="F11" s="11"/>
      <c r="G11" s="11"/>
      <c r="H11" s="11"/>
      <c r="I11" s="11"/>
      <c r="J11" s="11"/>
      <c r="K11" s="12"/>
    </row>
    <row r="12" spans="3:11" x14ac:dyDescent="0.3">
      <c r="C12" s="10"/>
      <c r="D12" s="11"/>
      <c r="E12" s="11"/>
      <c r="F12" s="11"/>
      <c r="G12" s="11"/>
      <c r="H12" s="11"/>
      <c r="I12" s="11"/>
      <c r="J12" s="11"/>
      <c r="K12" s="12"/>
    </row>
    <row r="13" spans="3:11" x14ac:dyDescent="0.3">
      <c r="C13" s="10"/>
      <c r="D13" s="11"/>
      <c r="E13" s="11"/>
      <c r="F13" s="11"/>
      <c r="G13" s="11"/>
      <c r="H13" s="11"/>
      <c r="I13" s="11"/>
      <c r="J13" s="11"/>
      <c r="K13" s="12"/>
    </row>
    <row r="14" spans="3:11" x14ac:dyDescent="0.3">
      <c r="C14" s="10"/>
      <c r="D14" s="11"/>
      <c r="E14" s="11"/>
      <c r="F14" s="11"/>
      <c r="G14" s="11"/>
      <c r="H14" s="11"/>
      <c r="I14" s="11"/>
      <c r="J14" s="11"/>
      <c r="K14" s="12"/>
    </row>
    <row r="15" spans="3:11" x14ac:dyDescent="0.3">
      <c r="C15" s="10"/>
      <c r="D15" s="11"/>
      <c r="E15" s="11"/>
      <c r="F15" s="11"/>
      <c r="G15" s="11"/>
      <c r="H15" s="11"/>
      <c r="I15" s="11"/>
      <c r="J15" s="11"/>
      <c r="K15" s="12"/>
    </row>
    <row r="16" spans="3:11" x14ac:dyDescent="0.3">
      <c r="C16" s="10"/>
      <c r="D16" s="11"/>
      <c r="E16" s="11"/>
      <c r="F16" s="11"/>
      <c r="G16" s="11"/>
      <c r="H16" s="11"/>
      <c r="I16" s="11"/>
      <c r="J16" s="11"/>
      <c r="K16" s="12"/>
    </row>
    <row r="17" spans="3:11" x14ac:dyDescent="0.3">
      <c r="C17" s="13"/>
      <c r="D17" s="14"/>
      <c r="E17" s="14"/>
      <c r="F17" s="14"/>
      <c r="G17" s="14"/>
      <c r="H17" s="14"/>
      <c r="I17" s="14"/>
      <c r="J17" s="14"/>
      <c r="K17" s="15"/>
    </row>
    <row r="19" spans="3:11" ht="37.200000000000003" customHeight="1" x14ac:dyDescent="0.3"/>
    <row r="20" spans="3:11" hidden="1" x14ac:dyDescent="0.3"/>
    <row r="21" spans="3:11" hidden="1" x14ac:dyDescent="0.3">
      <c r="F21" s="21" t="s">
        <v>47</v>
      </c>
      <c r="G21" s="16">
        <f>E6</f>
        <v>0</v>
      </c>
    </row>
    <row r="22" spans="3:11" hidden="1" x14ac:dyDescent="0.3">
      <c r="F22" s="21" t="s">
        <v>41</v>
      </c>
      <c r="G22" s="16">
        <f>E7</f>
        <v>0</v>
      </c>
    </row>
    <row r="23" spans="3:11" hidden="1" x14ac:dyDescent="0.3">
      <c r="F23" s="21" t="s">
        <v>42</v>
      </c>
      <c r="G23" s="16">
        <f>E8</f>
        <v>0</v>
      </c>
    </row>
    <row r="24" spans="3:11" hidden="1" x14ac:dyDescent="0.3">
      <c r="F24" s="21" t="s">
        <v>43</v>
      </c>
      <c r="G24" s="16">
        <f>H7</f>
        <v>0</v>
      </c>
    </row>
    <row r="25" spans="3:11" hidden="1" x14ac:dyDescent="0.3">
      <c r="F25" s="21" t="s">
        <v>44</v>
      </c>
      <c r="G25" s="16">
        <f>H8</f>
        <v>0</v>
      </c>
    </row>
    <row r="26" spans="3:11" hidden="1" x14ac:dyDescent="0.3">
      <c r="F26" s="21" t="s">
        <v>5</v>
      </c>
      <c r="G26" s="16">
        <f>E10</f>
        <v>0</v>
      </c>
    </row>
    <row r="27" spans="3:11" hidden="1" x14ac:dyDescent="0.3">
      <c r="F27" s="21" t="s">
        <v>45</v>
      </c>
      <c r="G27" s="16" t="str">
        <f>IF(H27=2,"morning","Evening")</f>
        <v>Evening</v>
      </c>
      <c r="H27" s="16">
        <v>1</v>
      </c>
    </row>
  </sheetData>
  <mergeCells count="1">
    <mergeCell ref="D3:F4"/>
  </mergeCells>
  <dataValidations count="1">
    <dataValidation type="list" allowBlank="1" showInputMessage="1" showErrorMessage="1" sqref="H8" xr:uid="{43B477FD-4E82-40AE-91D8-FFAAD6C91553}">
      <formula1>"male,femal"</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74" r:id="rId3" name="Option Button 2">
              <controlPr defaultSize="0" autoFill="0" autoLine="0" autoPict="0">
                <anchor moveWithCells="1">
                  <from>
                    <xdr:col>8</xdr:col>
                    <xdr:colOff>15240</xdr:colOff>
                    <xdr:row>9</xdr:row>
                    <xdr:rowOff>38100</xdr:rowOff>
                  </from>
                  <to>
                    <xdr:col>9</xdr:col>
                    <xdr:colOff>7620</xdr:colOff>
                    <xdr:row>10</xdr:row>
                    <xdr:rowOff>22860</xdr:rowOff>
                  </to>
                </anchor>
              </controlPr>
            </control>
          </mc:Choice>
        </mc:AlternateContent>
        <mc:AlternateContent xmlns:mc="http://schemas.openxmlformats.org/markup-compatibility/2006">
          <mc:Choice Requires="x14">
            <control shapeId="3073" r:id="rId4" name="Option Button 1">
              <controlPr defaultSize="0" autoFill="0" autoLine="0" autoPict="0">
                <anchor moveWithCells="1">
                  <from>
                    <xdr:col>7</xdr:col>
                    <xdr:colOff>106680</xdr:colOff>
                    <xdr:row>9</xdr:row>
                    <xdr:rowOff>22860</xdr:rowOff>
                  </from>
                  <to>
                    <xdr:col>7</xdr:col>
                    <xdr:colOff>586740</xdr:colOff>
                    <xdr:row>9</xdr:row>
                    <xdr:rowOff>175260</xdr:rowOff>
                  </to>
                </anchor>
              </controlPr>
            </control>
          </mc:Choice>
        </mc:AlternateContent>
        <mc:AlternateContent xmlns:mc="http://schemas.openxmlformats.org/markup-compatibility/2006">
          <mc:Choice Requires="x14">
            <control shapeId="3078" r:id="rId5" name="Button 6">
              <controlPr defaultSize="0" print="0" autoFill="0" autoPict="0" macro="[0]!futurastaff">
                <anchor moveWithCells="1" sizeWithCells="1">
                  <from>
                    <xdr:col>5</xdr:col>
                    <xdr:colOff>198120</xdr:colOff>
                    <xdr:row>14</xdr:row>
                    <xdr:rowOff>7620</xdr:rowOff>
                  </from>
                  <to>
                    <xdr:col>7</xdr:col>
                    <xdr:colOff>236220</xdr:colOff>
                    <xdr:row>15</xdr:row>
                    <xdr:rowOff>53340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18838F-FC3C-464A-8ECD-40259E34FEF0}">
  <sheetPr codeName="Sheet6"/>
  <dimension ref="A1"/>
  <sheetViews>
    <sheetView workbookViewId="0">
      <selection activeCell="J5" sqref="J5"/>
    </sheetView>
  </sheetViews>
  <sheetFormatPr defaultRowHeight="14.4" x14ac:dyDescent="0.3"/>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F83A51-4387-4E6C-959A-9871B7EE42D2}">
  <sheetPr codeName="Sheet5"/>
  <dimension ref="B2:H17"/>
  <sheetViews>
    <sheetView workbookViewId="0">
      <selection activeCell="K14" sqref="K14"/>
    </sheetView>
  </sheetViews>
  <sheetFormatPr defaultRowHeight="14.4" x14ac:dyDescent="0.3"/>
  <cols>
    <col min="2" max="2" width="7.33203125" bestFit="1" customWidth="1"/>
    <col min="3" max="3" width="10.77734375" bestFit="1" customWidth="1"/>
    <col min="4" max="4" width="9.6640625" bestFit="1" customWidth="1"/>
    <col min="5" max="5" width="14.109375" bestFit="1" customWidth="1"/>
    <col min="6" max="6" width="6.88671875" bestFit="1" customWidth="1"/>
    <col min="7" max="7" width="4" bestFit="1" customWidth="1"/>
    <col min="8" max="8" width="9.33203125" bestFit="1" customWidth="1"/>
  </cols>
  <sheetData>
    <row r="2" spans="2:8" x14ac:dyDescent="0.3">
      <c r="B2" s="17" t="s">
        <v>47</v>
      </c>
      <c r="C2" s="18" t="s">
        <v>41</v>
      </c>
      <c r="D2" s="18" t="s">
        <v>42</v>
      </c>
      <c r="E2" s="18" t="s">
        <v>43</v>
      </c>
      <c r="F2" s="18" t="s">
        <v>44</v>
      </c>
      <c r="G2" s="18" t="s">
        <v>5</v>
      </c>
      <c r="H2" s="19" t="s">
        <v>45</v>
      </c>
    </row>
    <row r="3" spans="2:8" x14ac:dyDescent="0.3">
      <c r="B3">
        <v>0</v>
      </c>
      <c r="C3">
        <v>0</v>
      </c>
      <c r="D3">
        <v>0</v>
      </c>
      <c r="E3">
        <v>0</v>
      </c>
      <c r="F3" t="s">
        <v>48</v>
      </c>
      <c r="G3">
        <v>123</v>
      </c>
      <c r="H3" t="s">
        <v>54</v>
      </c>
    </row>
    <row r="5" spans="2:8" x14ac:dyDescent="0.3">
      <c r="B5">
        <v>0</v>
      </c>
      <c r="C5">
        <v>0</v>
      </c>
      <c r="D5">
        <v>0</v>
      </c>
      <c r="E5" t="s">
        <v>66</v>
      </c>
      <c r="F5" t="s">
        <v>48</v>
      </c>
      <c r="G5">
        <v>24</v>
      </c>
      <c r="H5" t="s">
        <v>59</v>
      </c>
    </row>
    <row r="6" spans="2:8" x14ac:dyDescent="0.3">
      <c r="B6" t="s">
        <v>60</v>
      </c>
      <c r="C6" t="s">
        <v>61</v>
      </c>
      <c r="D6" t="s">
        <v>62</v>
      </c>
      <c r="E6" t="s">
        <v>63</v>
      </c>
      <c r="F6" t="s">
        <v>49</v>
      </c>
      <c r="G6">
        <v>26</v>
      </c>
      <c r="H6" t="s">
        <v>54</v>
      </c>
    </row>
    <row r="7" spans="2:8" x14ac:dyDescent="0.3">
      <c r="B7" t="s">
        <v>55</v>
      </c>
      <c r="C7" t="s">
        <v>56</v>
      </c>
      <c r="D7" t="s">
        <v>57</v>
      </c>
      <c r="E7" t="s">
        <v>58</v>
      </c>
      <c r="F7" t="s">
        <v>49</v>
      </c>
      <c r="G7">
        <v>23</v>
      </c>
      <c r="H7" t="s">
        <v>59</v>
      </c>
    </row>
    <row r="8" spans="2:8" x14ac:dyDescent="0.3">
      <c r="B8" t="s">
        <v>50</v>
      </c>
      <c r="C8" t="s">
        <v>51</v>
      </c>
      <c r="D8" t="s">
        <v>52</v>
      </c>
      <c r="E8" t="s">
        <v>53</v>
      </c>
      <c r="F8" t="s">
        <v>49</v>
      </c>
      <c r="G8">
        <v>24</v>
      </c>
      <c r="H8" t="s">
        <v>54</v>
      </c>
    </row>
    <row r="9" spans="2:8" x14ac:dyDescent="0.3">
      <c r="B9" s="10"/>
      <c r="C9" s="11"/>
      <c r="D9" s="11"/>
      <c r="E9" s="11"/>
      <c r="F9" s="11"/>
      <c r="G9" s="11"/>
      <c r="H9" s="12"/>
    </row>
    <row r="10" spans="2:8" x14ac:dyDescent="0.3">
      <c r="B10" s="10"/>
      <c r="C10" s="11"/>
      <c r="D10" s="11"/>
      <c r="E10" s="11"/>
      <c r="F10" s="11"/>
      <c r="G10" s="11"/>
      <c r="H10" s="12"/>
    </row>
    <row r="11" spans="2:8" x14ac:dyDescent="0.3">
      <c r="B11" s="10"/>
      <c r="C11" s="11"/>
      <c r="D11" s="11"/>
      <c r="E11" s="11"/>
      <c r="F11" s="11"/>
      <c r="G11" s="11"/>
      <c r="H11" s="12"/>
    </row>
    <row r="12" spans="2:8" x14ac:dyDescent="0.3">
      <c r="B12" s="10"/>
      <c r="C12" s="11"/>
      <c r="D12" s="11"/>
      <c r="E12" s="11"/>
      <c r="F12" s="11"/>
      <c r="G12" s="11"/>
      <c r="H12" s="12"/>
    </row>
    <row r="13" spans="2:8" x14ac:dyDescent="0.3">
      <c r="B13" s="10"/>
      <c r="C13" s="11"/>
      <c r="D13" s="11"/>
      <c r="E13" s="11"/>
      <c r="F13" s="11"/>
      <c r="G13" s="11"/>
      <c r="H13" s="12"/>
    </row>
    <row r="14" spans="2:8" x14ac:dyDescent="0.3">
      <c r="B14" s="10"/>
      <c r="C14" s="11"/>
      <c r="D14" s="11"/>
      <c r="E14" s="11"/>
      <c r="F14" s="11"/>
      <c r="G14" s="11"/>
      <c r="H14" s="12"/>
    </row>
    <row r="15" spans="2:8" x14ac:dyDescent="0.3">
      <c r="B15" s="10"/>
      <c r="C15" s="11"/>
      <c r="D15" s="11"/>
      <c r="E15" s="11"/>
      <c r="F15" s="11"/>
      <c r="G15" s="11"/>
      <c r="H15" s="12"/>
    </row>
    <row r="16" spans="2:8" x14ac:dyDescent="0.3">
      <c r="B16" s="10"/>
      <c r="C16" s="11"/>
      <c r="D16" s="11"/>
      <c r="E16" s="11"/>
      <c r="F16" s="11"/>
      <c r="G16" s="11"/>
      <c r="H16" s="12"/>
    </row>
    <row r="17" spans="2:8" x14ac:dyDescent="0.3">
      <c r="B17" s="13"/>
      <c r="C17" s="14"/>
      <c r="D17" s="14"/>
      <c r="E17" s="14"/>
      <c r="F17" s="14"/>
      <c r="G17" s="14"/>
      <c r="H17" s="15"/>
    </row>
  </sheetData>
  <pageMargins left="0.7" right="0.7" top="0.75" bottom="0.75" header="0.3" footer="0.3"/>
  <pageSetup paperSize="9" orientation="portrait" horizontalDpi="4294967293"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futurastaff">
                <anchor moveWithCells="1" sizeWithCells="1">
                  <from>
                    <xdr:col>9</xdr:col>
                    <xdr:colOff>441960</xdr:colOff>
                    <xdr:row>2</xdr:row>
                    <xdr:rowOff>30480</xdr:rowOff>
                  </from>
                  <to>
                    <xdr:col>11</xdr:col>
                    <xdr:colOff>76200</xdr:colOff>
                    <xdr:row>3</xdr:row>
                    <xdr:rowOff>7620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3B0050-3AD1-4AA5-92B1-EB88D2D0C2EE}">
  <sheetPr codeName="Sheet7"/>
  <dimension ref="A1:U34"/>
  <sheetViews>
    <sheetView showGridLines="0" zoomScaleNormal="100" workbookViewId="0">
      <selection activeCell="N4" sqref="N4"/>
    </sheetView>
  </sheetViews>
  <sheetFormatPr defaultRowHeight="14.4" x14ac:dyDescent="0.3"/>
  <cols>
    <col min="1" max="4" width="8.88671875" style="46"/>
    <col min="5" max="5" width="10.33203125" style="46" bestFit="1" customWidth="1"/>
    <col min="6" max="6" width="10.5546875" style="46" bestFit="1" customWidth="1"/>
    <col min="7" max="7" width="8.88671875" style="46"/>
    <col min="8" max="9" width="17.33203125" style="46" bestFit="1" customWidth="1"/>
    <col min="10" max="10" width="8.88671875" style="46" customWidth="1"/>
    <col min="11" max="16384" width="8.88671875" style="46"/>
  </cols>
  <sheetData>
    <row r="1" spans="1:21" s="26" customFormat="1" x14ac:dyDescent="0.3">
      <c r="A1" s="45"/>
      <c r="B1" s="45"/>
      <c r="C1" s="46"/>
      <c r="D1" s="46"/>
      <c r="E1" s="46"/>
      <c r="F1" s="46"/>
      <c r="G1" s="46"/>
      <c r="H1" s="46"/>
      <c r="I1" s="46"/>
      <c r="J1" s="46"/>
      <c r="K1" s="46"/>
      <c r="L1" s="46"/>
      <c r="M1" s="46"/>
      <c r="N1" s="46"/>
      <c r="O1" s="46"/>
      <c r="P1" s="46"/>
      <c r="Q1" s="46"/>
      <c r="R1" s="46"/>
      <c r="S1" s="46"/>
      <c r="T1" s="46"/>
      <c r="U1" s="46"/>
    </row>
    <row r="2" spans="1:21" s="26" customFormat="1" x14ac:dyDescent="0.3">
      <c r="A2" s="45"/>
      <c r="B2" s="45"/>
      <c r="C2" s="46"/>
      <c r="D2" s="46"/>
      <c r="E2" s="46"/>
      <c r="F2" s="46"/>
      <c r="G2" s="46"/>
      <c r="H2" s="46"/>
      <c r="I2" s="46"/>
      <c r="J2" s="46"/>
      <c r="K2" s="46"/>
      <c r="L2" s="46"/>
      <c r="M2" s="46"/>
      <c r="N2" s="46"/>
      <c r="O2" s="46"/>
      <c r="P2" s="46"/>
      <c r="Q2" s="46"/>
      <c r="R2" s="46"/>
      <c r="S2" s="46"/>
      <c r="T2" s="46"/>
      <c r="U2" s="46"/>
    </row>
    <row r="3" spans="1:21" x14ac:dyDescent="0.3">
      <c r="A3" s="45"/>
      <c r="B3" s="45"/>
      <c r="C3" s="7"/>
      <c r="D3" s="8"/>
      <c r="E3" s="8"/>
      <c r="F3" s="8"/>
      <c r="G3" s="8"/>
      <c r="H3" s="8"/>
      <c r="I3" s="8"/>
      <c r="J3" s="9"/>
    </row>
    <row r="4" spans="1:21" x14ac:dyDescent="0.3">
      <c r="A4" s="45"/>
      <c r="B4" s="45"/>
      <c r="C4" s="10"/>
      <c r="D4" s="50" t="s">
        <v>73</v>
      </c>
      <c r="E4" s="49"/>
      <c r="F4" s="49"/>
      <c r="G4" s="11"/>
      <c r="H4" s="11"/>
      <c r="I4" s="11"/>
      <c r="J4" s="12"/>
    </row>
    <row r="5" spans="1:21" x14ac:dyDescent="0.3">
      <c r="A5" s="45"/>
      <c r="B5" s="45"/>
      <c r="C5" s="10"/>
      <c r="D5" s="49"/>
      <c r="E5" s="49"/>
      <c r="F5" s="49"/>
      <c r="G5" s="11"/>
      <c r="H5" s="11"/>
      <c r="I5" s="11"/>
      <c r="J5" s="12"/>
    </row>
    <row r="6" spans="1:21" x14ac:dyDescent="0.3">
      <c r="A6" s="45"/>
      <c r="B6" s="45"/>
      <c r="C6" s="10"/>
      <c r="D6" s="11"/>
      <c r="E6" s="11"/>
      <c r="F6" s="11"/>
      <c r="G6" s="11"/>
      <c r="H6" s="11"/>
      <c r="I6" s="11"/>
      <c r="J6" s="12"/>
    </row>
    <row r="7" spans="1:21" x14ac:dyDescent="0.3">
      <c r="A7" s="45"/>
      <c r="B7" s="45"/>
      <c r="C7" s="10"/>
      <c r="D7" s="11"/>
      <c r="E7" s="11"/>
      <c r="F7" s="11"/>
      <c r="G7" s="11"/>
      <c r="H7" s="11"/>
      <c r="I7" s="11"/>
      <c r="J7" s="12"/>
    </row>
    <row r="8" spans="1:21" x14ac:dyDescent="0.3">
      <c r="A8" s="45"/>
      <c r="B8" s="45"/>
      <c r="C8" s="10"/>
      <c r="D8" s="11"/>
      <c r="E8" s="32" t="s">
        <v>67</v>
      </c>
      <c r="F8" s="38"/>
      <c r="G8" s="29"/>
      <c r="H8" s="27" t="s">
        <v>71</v>
      </c>
      <c r="I8" s="28"/>
      <c r="J8" s="12"/>
    </row>
    <row r="9" spans="1:21" x14ac:dyDescent="0.3">
      <c r="A9" s="45"/>
      <c r="B9" s="45"/>
      <c r="C9" s="10"/>
      <c r="D9" s="11"/>
      <c r="E9" s="33"/>
      <c r="F9" s="11"/>
      <c r="G9" s="11"/>
      <c r="H9" s="36"/>
      <c r="I9" s="37" t="str">
        <f>IF(I8="customized","please contact staff","")</f>
        <v/>
      </c>
      <c r="J9" s="12"/>
    </row>
    <row r="10" spans="1:21" x14ac:dyDescent="0.3">
      <c r="A10" s="45"/>
      <c r="B10" s="45"/>
      <c r="C10" s="10"/>
      <c r="D10" s="11"/>
      <c r="E10" s="32" t="s">
        <v>3</v>
      </c>
      <c r="F10" s="51"/>
      <c r="G10" s="52"/>
      <c r="H10" s="27" t="s">
        <v>44</v>
      </c>
      <c r="I10" s="30"/>
      <c r="J10" s="31"/>
    </row>
    <row r="11" spans="1:21" x14ac:dyDescent="0.3">
      <c r="A11" s="45"/>
      <c r="B11" s="45"/>
      <c r="C11" s="10"/>
      <c r="D11" s="11"/>
      <c r="E11" s="33"/>
      <c r="F11" s="11"/>
      <c r="G11" s="11"/>
      <c r="H11" s="35"/>
      <c r="I11" s="11"/>
      <c r="J11" s="12"/>
    </row>
    <row r="12" spans="1:21" x14ac:dyDescent="0.3">
      <c r="A12" s="45"/>
      <c r="B12" s="45"/>
      <c r="C12" s="10"/>
      <c r="D12" s="11"/>
      <c r="E12" s="32" t="s">
        <v>68</v>
      </c>
      <c r="F12" s="53"/>
      <c r="G12" s="54"/>
      <c r="H12" s="35"/>
      <c r="I12" s="11"/>
      <c r="J12" s="12"/>
    </row>
    <row r="13" spans="1:21" x14ac:dyDescent="0.3">
      <c r="A13" s="45"/>
      <c r="B13" s="45"/>
      <c r="C13" s="10"/>
      <c r="D13" s="11"/>
      <c r="E13" s="33"/>
      <c r="F13" s="11"/>
      <c r="G13" s="11"/>
      <c r="H13" s="35"/>
      <c r="I13" s="11"/>
      <c r="J13" s="12"/>
    </row>
    <row r="14" spans="1:21" x14ac:dyDescent="0.3">
      <c r="A14" s="45"/>
      <c r="B14" s="45"/>
      <c r="C14" s="10"/>
      <c r="D14" s="11"/>
      <c r="E14" s="32" t="s">
        <v>69</v>
      </c>
      <c r="F14" s="39"/>
      <c r="G14" s="11"/>
      <c r="H14" s="34" t="s">
        <v>72</v>
      </c>
      <c r="I14" s="39"/>
      <c r="J14" s="12"/>
    </row>
    <row r="15" spans="1:21" x14ac:dyDescent="0.3">
      <c r="A15" s="45"/>
      <c r="B15" s="45"/>
      <c r="C15" s="10"/>
      <c r="D15" s="11"/>
      <c r="E15" s="33"/>
      <c r="F15" s="11"/>
      <c r="G15" s="11"/>
      <c r="H15" s="11"/>
      <c r="I15" s="11"/>
      <c r="J15" s="12"/>
    </row>
    <row r="16" spans="1:21" x14ac:dyDescent="0.3">
      <c r="A16" s="45"/>
      <c r="B16" s="45"/>
      <c r="C16" s="10"/>
      <c r="D16" s="11"/>
      <c r="E16" s="32" t="s">
        <v>70</v>
      </c>
      <c r="F16" s="40"/>
      <c r="G16" s="11"/>
      <c r="H16" s="11"/>
      <c r="I16" s="11"/>
      <c r="J16" s="12"/>
    </row>
    <row r="17" spans="1:10" x14ac:dyDescent="0.3">
      <c r="A17" s="45"/>
      <c r="B17" s="45"/>
      <c r="C17" s="10"/>
      <c r="D17" s="11"/>
      <c r="E17" s="11"/>
      <c r="F17" s="11"/>
      <c r="G17" s="11"/>
      <c r="H17" s="11"/>
      <c r="I17" s="11"/>
      <c r="J17" s="12"/>
    </row>
    <row r="18" spans="1:10" x14ac:dyDescent="0.3">
      <c r="A18" s="45"/>
      <c r="B18" s="45"/>
      <c r="C18" s="13"/>
      <c r="D18" s="14"/>
      <c r="E18" s="14"/>
      <c r="F18" s="14"/>
      <c r="G18" s="14"/>
      <c r="H18" s="14"/>
      <c r="I18" s="14"/>
      <c r="J18" s="15"/>
    </row>
    <row r="20" spans="1:10" hidden="1" x14ac:dyDescent="0.3"/>
    <row r="21" spans="1:10" hidden="1" x14ac:dyDescent="0.3"/>
    <row r="22" spans="1:10" hidden="1" x14ac:dyDescent="0.3"/>
    <row r="23" spans="1:10" hidden="1" x14ac:dyDescent="0.3">
      <c r="E23" s="46" t="s">
        <v>75</v>
      </c>
      <c r="F23" s="46">
        <f>F8</f>
        <v>0</v>
      </c>
    </row>
    <row r="24" spans="1:10" hidden="1" x14ac:dyDescent="0.3">
      <c r="E24" s="46" t="s">
        <v>76</v>
      </c>
      <c r="F24" s="46">
        <f>F10</f>
        <v>0</v>
      </c>
    </row>
    <row r="25" spans="1:10" hidden="1" x14ac:dyDescent="0.3">
      <c r="E25" s="46" t="s">
        <v>79</v>
      </c>
      <c r="F25" s="46">
        <f>I10</f>
        <v>0</v>
      </c>
    </row>
    <row r="26" spans="1:10" hidden="1" x14ac:dyDescent="0.3">
      <c r="E26" s="46" t="s">
        <v>77</v>
      </c>
      <c r="F26" s="47" t="str">
        <f>IF(G26=1,"Online","Offline")</f>
        <v>Offline</v>
      </c>
      <c r="G26" s="46">
        <v>2</v>
      </c>
    </row>
    <row r="27" spans="1:10" hidden="1" x14ac:dyDescent="0.3">
      <c r="E27" s="46" t="s">
        <v>80</v>
      </c>
      <c r="F27" s="47">
        <f>I8</f>
        <v>0</v>
      </c>
    </row>
    <row r="28" spans="1:10" hidden="1" x14ac:dyDescent="0.3">
      <c r="E28" s="46" t="s">
        <v>81</v>
      </c>
      <c r="F28" s="46">
        <f>F16</f>
        <v>0</v>
      </c>
    </row>
    <row r="29" spans="1:10" hidden="1" x14ac:dyDescent="0.3">
      <c r="E29" s="46" t="s">
        <v>78</v>
      </c>
      <c r="F29" s="46">
        <f>F14</f>
        <v>0</v>
      </c>
    </row>
    <row r="30" spans="1:10" hidden="1" x14ac:dyDescent="0.3">
      <c r="E30" s="46" t="s">
        <v>82</v>
      </c>
      <c r="F30" s="46">
        <f>I14</f>
        <v>0</v>
      </c>
    </row>
    <row r="31" spans="1:10" hidden="1" x14ac:dyDescent="0.3"/>
    <row r="32" spans="1:10" hidden="1" x14ac:dyDescent="0.3"/>
    <row r="33" hidden="1" x14ac:dyDescent="0.3"/>
    <row r="34" hidden="1" x14ac:dyDescent="0.3"/>
  </sheetData>
  <mergeCells count="3">
    <mergeCell ref="D4:F5"/>
    <mergeCell ref="F10:G10"/>
    <mergeCell ref="F12:G12"/>
  </mergeCells>
  <dataValidations count="2">
    <dataValidation type="list" allowBlank="1" showInputMessage="1" showErrorMessage="1" sqref="I8" xr:uid="{199C06D2-BF87-4BED-BE1C-8D0ADE4ECFD8}">
      <formula1>"4 Month,6 Month,Customized, "</formula1>
    </dataValidation>
    <dataValidation type="list" allowBlank="1" showInputMessage="1" showErrorMessage="1" sqref="I10" xr:uid="{146B007A-1B34-4AB0-9801-3D70D9554551}">
      <formula1>"Male,Female"</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122" r:id="rId3" name="Option Button 2">
              <controlPr defaultSize="0" autoFill="0" autoLine="0" autoPict="0">
                <anchor moveWithCells="1">
                  <from>
                    <xdr:col>5</xdr:col>
                    <xdr:colOff>60960</xdr:colOff>
                    <xdr:row>11</xdr:row>
                    <xdr:rowOff>30480</xdr:rowOff>
                  </from>
                  <to>
                    <xdr:col>5</xdr:col>
                    <xdr:colOff>563880</xdr:colOff>
                    <xdr:row>11</xdr:row>
                    <xdr:rowOff>160020</xdr:rowOff>
                  </to>
                </anchor>
              </controlPr>
            </control>
          </mc:Choice>
        </mc:AlternateContent>
        <mc:AlternateContent xmlns:mc="http://schemas.openxmlformats.org/markup-compatibility/2006">
          <mc:Choice Requires="x14">
            <control shapeId="5123" r:id="rId4" name="Option Button 3">
              <controlPr defaultSize="0" autoFill="0" autoLine="0" autoPict="0">
                <anchor moveWithCells="1">
                  <from>
                    <xdr:col>6</xdr:col>
                    <xdr:colOff>0</xdr:colOff>
                    <xdr:row>11</xdr:row>
                    <xdr:rowOff>30480</xdr:rowOff>
                  </from>
                  <to>
                    <xdr:col>6</xdr:col>
                    <xdr:colOff>502920</xdr:colOff>
                    <xdr:row>11</xdr:row>
                    <xdr:rowOff>160020</xdr:rowOff>
                  </to>
                </anchor>
              </controlPr>
            </control>
          </mc:Choice>
        </mc:AlternateContent>
        <mc:AlternateContent xmlns:mc="http://schemas.openxmlformats.org/markup-compatibility/2006">
          <mc:Choice Requires="x14">
            <control shapeId="5129" r:id="rId5" name="Button 9">
              <controlPr defaultSize="0" print="0" autoFill="0" autoPict="0" macro="[0]!new_active">
                <anchor moveWithCells="1" sizeWithCells="1">
                  <from>
                    <xdr:col>6</xdr:col>
                    <xdr:colOff>510540</xdr:colOff>
                    <xdr:row>16</xdr:row>
                    <xdr:rowOff>106680</xdr:rowOff>
                  </from>
                  <to>
                    <xdr:col>7</xdr:col>
                    <xdr:colOff>891540</xdr:colOff>
                    <xdr:row>17</xdr:row>
                    <xdr:rowOff>121920</xdr:rowOff>
                  </to>
                </anchor>
              </controlPr>
            </control>
          </mc:Choice>
        </mc:AlternateContent>
        <mc:AlternateContent xmlns:mc="http://schemas.openxmlformats.org/markup-compatibility/2006">
          <mc:Choice Requires="x14">
            <control shapeId="5133" r:id="rId6" name="Button 13">
              <controlPr defaultSize="0" print="0" autoFill="0" autoPict="0" macro="[0]!RefreshAll">
                <anchor moveWithCells="1" sizeWithCells="1">
                  <from>
                    <xdr:col>12</xdr:col>
                    <xdr:colOff>220980</xdr:colOff>
                    <xdr:row>4</xdr:row>
                    <xdr:rowOff>175260</xdr:rowOff>
                  </from>
                  <to>
                    <xdr:col>14</xdr:col>
                    <xdr:colOff>243840</xdr:colOff>
                    <xdr:row>6</xdr:row>
                    <xdr:rowOff>68580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6AD711-8BAB-4F86-AD96-BE3B82FB3D4F}">
  <sheetPr codeName="Sheet4"/>
  <dimension ref="A1:H1"/>
  <sheetViews>
    <sheetView workbookViewId="0">
      <selection sqref="A1:H1"/>
    </sheetView>
  </sheetViews>
  <sheetFormatPr defaultRowHeight="14.4" x14ac:dyDescent="0.3"/>
  <cols>
    <col min="6" max="6" width="10.5546875" bestFit="1" customWidth="1"/>
  </cols>
  <sheetData>
    <row r="1" spans="1:8" x14ac:dyDescent="0.3">
      <c r="A1">
        <v>13</v>
      </c>
      <c r="B1" t="s">
        <v>117</v>
      </c>
      <c r="C1" t="s">
        <v>89</v>
      </c>
      <c r="D1" t="s">
        <v>90</v>
      </c>
      <c r="E1" t="s">
        <v>74</v>
      </c>
      <c r="F1" s="41">
        <v>45272</v>
      </c>
      <c r="G1" t="s">
        <v>31</v>
      </c>
      <c r="H1" t="s">
        <v>52</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1E054F-9CAA-43E6-B456-CEEE51AF90DD}">
  <sheetPr codeName="Sheet9"/>
  <dimension ref="A3:K20"/>
  <sheetViews>
    <sheetView workbookViewId="0">
      <selection activeCell="L21" sqref="L21"/>
    </sheetView>
  </sheetViews>
  <sheetFormatPr defaultRowHeight="14.4" x14ac:dyDescent="0.3"/>
  <cols>
    <col min="1" max="1" width="8.21875" bestFit="1" customWidth="1"/>
    <col min="2" max="2" width="13.88671875" bestFit="1" customWidth="1"/>
    <col min="5" max="5" width="13.5546875" bestFit="1" customWidth="1"/>
    <col min="6" max="6" width="10.5546875" bestFit="1" customWidth="1"/>
    <col min="7" max="7" width="8.21875" bestFit="1" customWidth="1"/>
    <col min="8" max="8" width="10.88671875" bestFit="1" customWidth="1"/>
    <col min="9" max="9" width="13.88671875" bestFit="1" customWidth="1"/>
    <col min="10" max="10" width="4.6640625" bestFit="1" customWidth="1"/>
    <col min="11" max="11" width="7.6640625" bestFit="1" customWidth="1"/>
    <col min="12" max="14" width="5" bestFit="1" customWidth="1"/>
    <col min="15" max="17" width="7" bestFit="1" customWidth="1"/>
    <col min="18" max="18" width="9.33203125" bestFit="1" customWidth="1"/>
    <col min="19" max="19" width="9.6640625" bestFit="1" customWidth="1"/>
    <col min="20" max="20" width="7" bestFit="1" customWidth="1"/>
    <col min="21" max="21" width="9.33203125" bestFit="1" customWidth="1"/>
    <col min="22" max="22" width="9.6640625" bestFit="1" customWidth="1"/>
    <col min="23" max="23" width="7" bestFit="1" customWidth="1"/>
    <col min="24" max="24" width="9.33203125" bestFit="1" customWidth="1"/>
    <col min="25" max="25" width="9.6640625" bestFit="1" customWidth="1"/>
  </cols>
  <sheetData>
    <row r="3" spans="1:11" x14ac:dyDescent="0.3">
      <c r="A3" s="43" t="s">
        <v>68</v>
      </c>
      <c r="B3" t="s">
        <v>95</v>
      </c>
    </row>
    <row r="4" spans="1:11" x14ac:dyDescent="0.3">
      <c r="A4" t="s">
        <v>90</v>
      </c>
      <c r="B4" s="44">
        <v>7</v>
      </c>
    </row>
    <row r="5" spans="1:11" x14ac:dyDescent="0.3">
      <c r="A5" t="s">
        <v>83</v>
      </c>
      <c r="B5" s="44">
        <v>6</v>
      </c>
    </row>
    <row r="7" spans="1:11" x14ac:dyDescent="0.3">
      <c r="F7" s="43" t="s">
        <v>71</v>
      </c>
    </row>
    <row r="8" spans="1:11" x14ac:dyDescent="0.3">
      <c r="F8" t="s">
        <v>93</v>
      </c>
      <c r="G8" t="s">
        <v>74</v>
      </c>
    </row>
    <row r="9" spans="1:11" x14ac:dyDescent="0.3">
      <c r="E9" t="s">
        <v>95</v>
      </c>
      <c r="F9" s="44">
        <v>3</v>
      </c>
      <c r="G9" s="44">
        <v>10</v>
      </c>
    </row>
    <row r="11" spans="1:11" x14ac:dyDescent="0.3">
      <c r="K11" s="43" t="s">
        <v>104</v>
      </c>
    </row>
    <row r="15" spans="1:11" x14ac:dyDescent="0.3">
      <c r="H15" s="43" t="s">
        <v>70</v>
      </c>
      <c r="I15" t="s">
        <v>95</v>
      </c>
    </row>
    <row r="16" spans="1:11" x14ac:dyDescent="0.3">
      <c r="H16" s="41" t="s">
        <v>105</v>
      </c>
      <c r="I16" s="44">
        <v>4</v>
      </c>
    </row>
    <row r="17" spans="8:9" x14ac:dyDescent="0.3">
      <c r="H17" s="41" t="s">
        <v>106</v>
      </c>
      <c r="I17" s="44">
        <v>3</v>
      </c>
    </row>
    <row r="18" spans="8:9" x14ac:dyDescent="0.3">
      <c r="H18" s="41" t="s">
        <v>108</v>
      </c>
      <c r="I18" s="44">
        <v>3</v>
      </c>
    </row>
    <row r="19" spans="8:9" x14ac:dyDescent="0.3">
      <c r="H19" s="41" t="s">
        <v>107</v>
      </c>
      <c r="I19" s="44">
        <v>1</v>
      </c>
    </row>
    <row r="20" spans="8:9" x14ac:dyDescent="0.3">
      <c r="H20" s="41" t="s">
        <v>116</v>
      </c>
      <c r="I20" s="44">
        <v>2</v>
      </c>
    </row>
  </sheetData>
  <pageMargins left="0.7" right="0.7" top="0.75" bottom="0.75" header="0.3" footer="0.3"/>
  <drawing r:id="rId5"/>
  <extLst>
    <ext xmlns:x14="http://schemas.microsoft.com/office/spreadsheetml/2009/9/main" uri="{A8765BA9-456A-4dab-B4F3-ACF838C121DE}">
      <x14:slicerList>
        <x14:slicer r:id="rId6"/>
      </x14:slicerList>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BA2407-2207-42FA-A58F-5CBE506C866F}">
  <sheetPr codeName="Sheet8"/>
  <dimension ref="A1:H17"/>
  <sheetViews>
    <sheetView workbookViewId="0">
      <selection activeCell="A2" sqref="A2:H2"/>
    </sheetView>
  </sheetViews>
  <sheetFormatPr defaultRowHeight="14.4" x14ac:dyDescent="0.3"/>
  <cols>
    <col min="1" max="1" width="5.77734375" style="1" bestFit="1" customWidth="1"/>
    <col min="2" max="2" width="7.109375" style="1" bestFit="1" customWidth="1"/>
    <col min="3" max="3" width="8.6640625" style="1" bestFit="1" customWidth="1"/>
    <col min="4" max="4" width="7.109375" style="1" bestFit="1" customWidth="1"/>
    <col min="5" max="5" width="10.109375" style="1" bestFit="1" customWidth="1"/>
    <col min="6" max="6" width="10.5546875" style="1" bestFit="1" customWidth="1"/>
    <col min="7" max="7" width="12.77734375" style="1" bestFit="1" customWidth="1"/>
    <col min="8" max="8" width="16.77734375" style="1" bestFit="1" customWidth="1"/>
    <col min="9" max="16384" width="8.88671875" style="16"/>
  </cols>
  <sheetData>
    <row r="1" spans="1:8" ht="18" x14ac:dyDescent="0.35">
      <c r="A1" s="42" t="s">
        <v>75</v>
      </c>
      <c r="B1" s="42" t="s">
        <v>3</v>
      </c>
      <c r="C1" s="42" t="s">
        <v>44</v>
      </c>
      <c r="D1" s="42" t="s">
        <v>68</v>
      </c>
      <c r="E1" s="42" t="s">
        <v>71</v>
      </c>
      <c r="F1" s="42" t="s">
        <v>70</v>
      </c>
      <c r="G1" s="42" t="s">
        <v>69</v>
      </c>
      <c r="H1" s="42" t="s">
        <v>72</v>
      </c>
    </row>
    <row r="2" spans="1:8" x14ac:dyDescent="0.3">
      <c r="A2">
        <v>13</v>
      </c>
      <c r="B2" t="s">
        <v>117</v>
      </c>
      <c r="C2" t="s">
        <v>89</v>
      </c>
      <c r="D2" t="s">
        <v>90</v>
      </c>
      <c r="E2" t="s">
        <v>74</v>
      </c>
      <c r="F2" s="41">
        <v>45272</v>
      </c>
      <c r="G2" t="s">
        <v>31</v>
      </c>
      <c r="H2" t="s">
        <v>52</v>
      </c>
    </row>
    <row r="3" spans="1:8" x14ac:dyDescent="0.3">
      <c r="A3">
        <v>17</v>
      </c>
      <c r="B3" t="s">
        <v>113</v>
      </c>
      <c r="C3" t="s">
        <v>84</v>
      </c>
      <c r="D3" t="s">
        <v>90</v>
      </c>
      <c r="E3" t="s">
        <v>93</v>
      </c>
      <c r="F3" s="41">
        <v>45271</v>
      </c>
      <c r="G3" t="s">
        <v>114</v>
      </c>
      <c r="H3" t="s">
        <v>115</v>
      </c>
    </row>
    <row r="4" spans="1:8" x14ac:dyDescent="0.3">
      <c r="A4">
        <v>11</v>
      </c>
      <c r="B4" t="s">
        <v>111</v>
      </c>
      <c r="C4" t="s">
        <v>84</v>
      </c>
      <c r="D4" t="s">
        <v>83</v>
      </c>
      <c r="E4" t="s">
        <v>93</v>
      </c>
      <c r="F4" s="41">
        <v>45083</v>
      </c>
      <c r="G4" t="s">
        <v>85</v>
      </c>
      <c r="H4" t="s">
        <v>112</v>
      </c>
    </row>
    <row r="5" spans="1:8" x14ac:dyDescent="0.3">
      <c r="A5">
        <v>11</v>
      </c>
      <c r="B5" t="s">
        <v>109</v>
      </c>
      <c r="C5" t="s">
        <v>89</v>
      </c>
      <c r="D5" t="s">
        <v>90</v>
      </c>
      <c r="E5" t="s">
        <v>74</v>
      </c>
      <c r="F5" s="41">
        <v>45050</v>
      </c>
      <c r="G5" t="s">
        <v>36</v>
      </c>
      <c r="H5" t="s">
        <v>110</v>
      </c>
    </row>
    <row r="6" spans="1:8" x14ac:dyDescent="0.3">
      <c r="A6">
        <v>10</v>
      </c>
      <c r="B6" t="s">
        <v>102</v>
      </c>
      <c r="C6" t="s">
        <v>84</v>
      </c>
      <c r="D6" t="s">
        <v>83</v>
      </c>
      <c r="E6" t="s">
        <v>74</v>
      </c>
      <c r="F6" s="41">
        <v>45057</v>
      </c>
      <c r="G6" t="s">
        <v>103</v>
      </c>
      <c r="H6" t="s">
        <v>27</v>
      </c>
    </row>
    <row r="7" spans="1:8" x14ac:dyDescent="0.3">
      <c r="A7">
        <v>9</v>
      </c>
      <c r="B7" t="s">
        <v>101</v>
      </c>
      <c r="C7" t="s">
        <v>84</v>
      </c>
      <c r="D7" t="s">
        <v>90</v>
      </c>
      <c r="E7" t="s">
        <v>74</v>
      </c>
      <c r="F7" s="41">
        <v>45028</v>
      </c>
      <c r="G7" t="s">
        <v>35</v>
      </c>
      <c r="H7" t="s">
        <v>87</v>
      </c>
    </row>
    <row r="8" spans="1:8" x14ac:dyDescent="0.3">
      <c r="A8">
        <v>8</v>
      </c>
      <c r="B8" t="s">
        <v>99</v>
      </c>
      <c r="C8" t="s">
        <v>84</v>
      </c>
      <c r="D8" t="s">
        <v>90</v>
      </c>
      <c r="E8" t="s">
        <v>74</v>
      </c>
      <c r="F8" s="41">
        <v>45424</v>
      </c>
      <c r="G8" t="s">
        <v>32</v>
      </c>
      <c r="H8" t="s">
        <v>100</v>
      </c>
    </row>
    <row r="9" spans="1:8" x14ac:dyDescent="0.3">
      <c r="A9">
        <v>6</v>
      </c>
      <c r="B9" t="s">
        <v>98</v>
      </c>
      <c r="C9" t="s">
        <v>89</v>
      </c>
      <c r="D9" t="s">
        <v>83</v>
      </c>
      <c r="E9" t="s">
        <v>74</v>
      </c>
      <c r="F9" s="41">
        <v>45119</v>
      </c>
      <c r="G9" t="s">
        <v>33</v>
      </c>
      <c r="H9" t="s">
        <v>92</v>
      </c>
    </row>
    <row r="10" spans="1:8" x14ac:dyDescent="0.3">
      <c r="A10">
        <v>5</v>
      </c>
      <c r="B10" t="s">
        <v>96</v>
      </c>
      <c r="C10" t="s">
        <v>84</v>
      </c>
      <c r="D10" t="s">
        <v>83</v>
      </c>
      <c r="E10" t="s">
        <v>74</v>
      </c>
      <c r="F10" s="41">
        <v>45017</v>
      </c>
      <c r="G10" t="s">
        <v>35</v>
      </c>
      <c r="H10" t="s">
        <v>97</v>
      </c>
    </row>
    <row r="11" spans="1:8" x14ac:dyDescent="0.3">
      <c r="A11">
        <v>4</v>
      </c>
      <c r="B11" t="s">
        <v>94</v>
      </c>
      <c r="C11" t="s">
        <v>84</v>
      </c>
      <c r="D11" t="s">
        <v>90</v>
      </c>
      <c r="E11" t="s">
        <v>93</v>
      </c>
      <c r="F11" s="41">
        <v>45383</v>
      </c>
      <c r="G11" t="s">
        <v>85</v>
      </c>
      <c r="H11" t="s">
        <v>86</v>
      </c>
    </row>
    <row r="12" spans="1:8" x14ac:dyDescent="0.3">
      <c r="A12">
        <v>3</v>
      </c>
      <c r="B12" t="s">
        <v>91</v>
      </c>
      <c r="C12" t="s">
        <v>89</v>
      </c>
      <c r="D12" t="s">
        <v>83</v>
      </c>
      <c r="E12" t="s">
        <v>74</v>
      </c>
      <c r="F12" s="41">
        <v>45387</v>
      </c>
      <c r="G12" t="s">
        <v>33</v>
      </c>
      <c r="H12" t="s">
        <v>92</v>
      </c>
    </row>
    <row r="13" spans="1:8" x14ac:dyDescent="0.3">
      <c r="A13">
        <v>2</v>
      </c>
      <c r="B13" t="s">
        <v>88</v>
      </c>
      <c r="C13" t="s">
        <v>84</v>
      </c>
      <c r="D13" t="s">
        <v>90</v>
      </c>
      <c r="E13" t="s">
        <v>74</v>
      </c>
      <c r="F13" s="41">
        <v>45444</v>
      </c>
      <c r="G13" t="s">
        <v>31</v>
      </c>
      <c r="H13" t="s">
        <v>52</v>
      </c>
    </row>
    <row r="14" spans="1:8" x14ac:dyDescent="0.3">
      <c r="A14">
        <v>1</v>
      </c>
      <c r="B14" t="s">
        <v>87</v>
      </c>
      <c r="C14" t="s">
        <v>84</v>
      </c>
      <c r="D14" t="s">
        <v>83</v>
      </c>
      <c r="E14" t="s">
        <v>74</v>
      </c>
      <c r="F14" s="41">
        <v>45447</v>
      </c>
      <c r="G14" t="s">
        <v>85</v>
      </c>
      <c r="H14" t="s">
        <v>86</v>
      </c>
    </row>
    <row r="15" spans="1:8" x14ac:dyDescent="0.3">
      <c r="F15" s="2"/>
    </row>
    <row r="16" spans="1:8" x14ac:dyDescent="0.3">
      <c r="F16" s="2"/>
    </row>
    <row r="17" spans="6:6" x14ac:dyDescent="0.3">
      <c r="F17" s="2"/>
    </row>
  </sheetData>
  <pageMargins left="0.7" right="0.7" top="0.75" bottom="0.75" header="0.3" footer="0.3"/>
  <pageSetup paperSize="9" orientation="portrait" horizontalDpi="4294967293"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active_intern_pdf">
                <anchor moveWithCells="1" sizeWithCells="1">
                  <from>
                    <xdr:col>9</xdr:col>
                    <xdr:colOff>320040</xdr:colOff>
                    <xdr:row>4</xdr:row>
                    <xdr:rowOff>30480</xdr:rowOff>
                  </from>
                  <to>
                    <xdr:col>11</xdr:col>
                    <xdr:colOff>175260</xdr:colOff>
                    <xdr:row>5</xdr:row>
                    <xdr:rowOff>91440</xdr:rowOff>
                  </to>
                </anchor>
              </controlPr>
            </control>
          </mc:Choice>
        </mc:AlternateContent>
      </controls>
    </mc:Choice>
  </mc:AlternateConten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10D6AF0C-6F9B-4A27-8220-07BDA5E12012}">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3</vt:i4>
      </vt:variant>
    </vt:vector>
  </HeadingPairs>
  <TitlesOfParts>
    <vt:vector size="12" baseType="lpstr">
      <vt:lpstr>Data to be pdf</vt:lpstr>
      <vt:lpstr>Sheet2</vt:lpstr>
      <vt:lpstr>form to excel</vt:lpstr>
      <vt:lpstr>Sheet1</vt:lpstr>
      <vt:lpstr>sheet to</vt:lpstr>
      <vt:lpstr>active intern</vt:lpstr>
      <vt:lpstr>raw</vt:lpstr>
      <vt:lpstr>Sheet5</vt:lpstr>
      <vt:lpstr>active pdf</vt:lpstr>
      <vt:lpstr>'active pdf'!Print_Area</vt:lpstr>
      <vt:lpstr>'Data to be pdf'!Print_Area</vt:lpstr>
      <vt:lpstr>'sheet to'!Print_Area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muhammed jahsh v</dc:creator>
  <cp:lastModifiedBy>muhammed jahsh v</cp:lastModifiedBy>
  <cp:lastPrinted>2024-06-04T10:14:14Z</cp:lastPrinted>
  <dcterms:created xsi:type="dcterms:W3CDTF">2024-05-31T10:29:26Z</dcterms:created>
  <dcterms:modified xsi:type="dcterms:W3CDTF">2024-06-14T04:32:51Z</dcterms:modified>
</cp:coreProperties>
</file>