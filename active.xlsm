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jahsh data scientist\new files\"/>
    </mc:Choice>
  </mc:AlternateContent>
  <xr:revisionPtr revIDLastSave="0" documentId="13_ncr:1_{58017C54-8B2C-46EC-9019-79CE5F456FC1}" xr6:coauthVersionLast="47" xr6:coauthVersionMax="47" xr10:uidLastSave="{00000000-0000-0000-0000-000000000000}"/>
  <bookViews>
    <workbookView xWindow="-108" yWindow="-108" windowWidth="23256" windowHeight="12456" activeTab="5" xr2:uid="{5804ED93-9C8B-4FE3-ABFD-050678284FC4}"/>
  </bookViews>
  <sheets>
    <sheet name="Data to be pdf" sheetId="1" r:id="rId1"/>
    <sheet name="Sheet2" sheetId="2" r:id="rId2"/>
    <sheet name="form to excel" sheetId="3" r:id="rId3"/>
    <sheet name="Sheet1" sheetId="6" r:id="rId4"/>
    <sheet name="sheet to" sheetId="4" r:id="rId5"/>
    <sheet name="active intern" sheetId="7" r:id="rId6"/>
    <sheet name="raw" sheetId="10" r:id="rId7"/>
    <sheet name="active pdf" sheetId="8" r:id="rId8"/>
  </sheets>
  <externalReferences>
    <externalReference r:id="rId9"/>
  </externalReferences>
  <definedNames>
    <definedName name="_xlnm.Print_Area" localSheetId="7">'active pdf'!$A:$H</definedName>
    <definedName name="_xlnm.Print_Area" localSheetId="0">'Data to be pdf'!$B$2:$H$19</definedName>
    <definedName name="_xlnm.Print_Area" localSheetId="4">'sheet to'!$B$2:$H$17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6" i="7" l="1"/>
  <c r="F30" i="7"/>
  <c r="F29" i="7"/>
  <c r="F28" i="7"/>
  <c r="F27" i="7"/>
  <c r="F25" i="7"/>
  <c r="F24" i="7"/>
  <c r="F23" i="7"/>
  <c r="I9" i="7"/>
  <c r="G27" i="3"/>
  <c r="G26" i="3"/>
  <c r="G25" i="3"/>
  <c r="G24" i="3"/>
  <c r="G23" i="3"/>
  <c r="G22" i="3"/>
  <c r="G21" i="3"/>
  <c r="H9" i="1"/>
  <c r="H10" i="1"/>
  <c r="H11" i="1"/>
  <c r="H12" i="1"/>
  <c r="H13" i="1"/>
  <c r="H14" i="1"/>
  <c r="H15" i="1"/>
  <c r="H16" i="1"/>
  <c r="H17" i="1"/>
  <c r="H18" i="1"/>
  <c r="H19" i="1"/>
  <c r="H8" i="1"/>
  <c r="E15" i="1"/>
  <c r="E16" i="1"/>
  <c r="E17" i="1"/>
  <c r="E18" i="1"/>
  <c r="E19" i="1"/>
  <c r="E14" i="1"/>
  <c r="D15" i="1"/>
  <c r="D16" i="1"/>
  <c r="D17" i="1"/>
  <c r="D18" i="1"/>
  <c r="D19" i="1"/>
  <c r="D14" i="1"/>
  <c r="C15" i="1"/>
  <c r="C16" i="1"/>
  <c r="C17" i="1"/>
  <c r="C18" i="1"/>
  <c r="C19" i="1"/>
  <c r="C14" i="1"/>
  <c r="D4" i="1"/>
</calcChain>
</file>

<file path=xl/sharedStrings.xml><?xml version="1.0" encoding="utf-8"?>
<sst xmlns="http://schemas.openxmlformats.org/spreadsheetml/2006/main" count="158" uniqueCount="88">
  <si>
    <t xml:space="preserve">Data </t>
  </si>
  <si>
    <t>Company</t>
  </si>
  <si>
    <t>stu_id</t>
  </si>
  <si>
    <t>Name</t>
  </si>
  <si>
    <t>Course</t>
  </si>
  <si>
    <t>Age</t>
  </si>
  <si>
    <t>Evaluation 1</t>
  </si>
  <si>
    <t>Evaluation 2</t>
  </si>
  <si>
    <t>Total</t>
  </si>
  <si>
    <t>stu_1</t>
  </si>
  <si>
    <t>stu_2</t>
  </si>
  <si>
    <t>stu_3</t>
  </si>
  <si>
    <t>stu_4</t>
  </si>
  <si>
    <t>stu_5</t>
  </si>
  <si>
    <t>stu_6</t>
  </si>
  <si>
    <t>stu_7</t>
  </si>
  <si>
    <t>stu_8</t>
  </si>
  <si>
    <t>stu_9</t>
  </si>
  <si>
    <t>stu_10</t>
  </si>
  <si>
    <t>stu_11</t>
  </si>
  <si>
    <t>Althaf</t>
  </si>
  <si>
    <t>Ajmal</t>
  </si>
  <si>
    <t>Swalih</t>
  </si>
  <si>
    <t>Athul</t>
  </si>
  <si>
    <t>Shinas</t>
  </si>
  <si>
    <t>Shanis</t>
  </si>
  <si>
    <t>Basith</t>
  </si>
  <si>
    <t>Vyas</t>
  </si>
  <si>
    <t>Shahal</t>
  </si>
  <si>
    <t>Rishan</t>
  </si>
  <si>
    <t>Rahul</t>
  </si>
  <si>
    <t>DA</t>
  </si>
  <si>
    <t>DS</t>
  </si>
  <si>
    <t>Mern</t>
  </si>
  <si>
    <t>Da</t>
  </si>
  <si>
    <t>Flutter</t>
  </si>
  <si>
    <t>Dm</t>
  </si>
  <si>
    <t>stu_12</t>
  </si>
  <si>
    <t>Praveen</t>
  </si>
  <si>
    <t>ds</t>
  </si>
  <si>
    <t>tcs</t>
  </si>
  <si>
    <t>First name:</t>
  </si>
  <si>
    <t>Last Name</t>
  </si>
  <si>
    <t>Department</t>
  </si>
  <si>
    <t>Gender</t>
  </si>
  <si>
    <t>Entry time</t>
  </si>
  <si>
    <t>Futura Labs</t>
  </si>
  <si>
    <t>Staff_id</t>
  </si>
  <si>
    <t>femal</t>
  </si>
  <si>
    <t>male</t>
  </si>
  <si>
    <t>Fut_1</t>
  </si>
  <si>
    <t>Muhammed</t>
  </si>
  <si>
    <t>Jahsh</t>
  </si>
  <si>
    <t>Data Analytics</t>
  </si>
  <si>
    <t>Evening</t>
  </si>
  <si>
    <t>fut_2</t>
  </si>
  <si>
    <t>vyas</t>
  </si>
  <si>
    <t>Elayadath</t>
  </si>
  <si>
    <t>video editor</t>
  </si>
  <si>
    <t>morning</t>
  </si>
  <si>
    <t>fut5</t>
  </si>
  <si>
    <t>shaji</t>
  </si>
  <si>
    <t>abraham</t>
  </si>
  <si>
    <t>digtal marketing</t>
  </si>
  <si>
    <t>fut_43</t>
  </si>
  <si>
    <t>shahala</t>
  </si>
  <si>
    <t>flutter</t>
  </si>
  <si>
    <t>Sl No</t>
  </si>
  <si>
    <t>Mode</t>
  </si>
  <si>
    <t>Technology</t>
  </si>
  <si>
    <t>Join Date</t>
  </si>
  <si>
    <t>Duration</t>
  </si>
  <si>
    <t>Staff Allotment</t>
  </si>
  <si>
    <t>Active Interns</t>
  </si>
  <si>
    <t>6 Month</t>
  </si>
  <si>
    <t>sl no</t>
  </si>
  <si>
    <t>name</t>
  </si>
  <si>
    <t>mode</t>
  </si>
  <si>
    <t>technology</t>
  </si>
  <si>
    <t>gender</t>
  </si>
  <si>
    <t>duration</t>
  </si>
  <si>
    <t>join date</t>
  </si>
  <si>
    <t>staff allotment</t>
  </si>
  <si>
    <t>Online</t>
  </si>
  <si>
    <t>Male</t>
  </si>
  <si>
    <t>DM</t>
  </si>
  <si>
    <t>Shaji</t>
  </si>
  <si>
    <t>Sarath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</si>
</sst>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22"/>
      <color theme="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8"/>
      <name val="Segoe UI"/>
      <family val="2"/>
    </font>
    <font>
      <sz val="11"/>
      <color rgb="FFC00000"/>
      <name val="Calibri"/>
      <family val="2"/>
      <scheme val="minor"/>
    </font>
    <font>
      <sz val="11"/>
      <name val="Calibri"/>
      <family val="2"/>
      <scheme val="minor"/>
    </font>
    <font>
      <sz val="14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1" xfId="0" applyBorder="1"/>
    <xf numFmtId="14" fontId="0" fillId="0" borderId="1" xfId="0" applyNumberFormat="1" applyBorder="1"/>
    <xf numFmtId="0" fontId="0" fillId="2" borderId="1" xfId="0" applyFill="1" applyBorder="1"/>
    <xf numFmtId="0" fontId="0" fillId="0" borderId="2" xfId="0" applyFill="1" applyBorder="1"/>
    <xf numFmtId="2" fontId="0" fillId="0" borderId="1" xfId="0" applyNumberFormat="1" applyBorder="1"/>
    <xf numFmtId="0" fontId="0" fillId="0" borderId="3" xfId="0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0" xfId="0" applyBorder="1"/>
    <xf numFmtId="0" fontId="0" fillId="0" borderId="2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3" borderId="0" xfId="0" applyFill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0" borderId="0" xfId="0" applyFill="1" applyBorder="1"/>
    <xf numFmtId="0" fontId="0" fillId="3" borderId="0" xfId="0" applyFill="1" applyBorder="1"/>
    <xf numFmtId="0" fontId="0" fillId="0" borderId="11" xfId="0" applyBorder="1"/>
    <xf numFmtId="2" fontId="0" fillId="0" borderId="12" xfId="0" applyNumberFormat="1" applyBorder="1"/>
    <xf numFmtId="0" fontId="0" fillId="0" borderId="13" xfId="0" applyBorder="1"/>
    <xf numFmtId="0" fontId="0" fillId="0" borderId="13" xfId="0" applyFill="1" applyBorder="1"/>
    <xf numFmtId="0" fontId="6" fillId="5" borderId="0" xfId="0" applyFont="1" applyFill="1"/>
    <xf numFmtId="0" fontId="0" fillId="5" borderId="0" xfId="0" applyFill="1"/>
    <xf numFmtId="0" fontId="2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7" borderId="1" xfId="0" applyFont="1" applyFill="1" applyBorder="1" applyAlignment="1"/>
    <xf numFmtId="0" fontId="0" fillId="6" borderId="0" xfId="0" applyFill="1" applyBorder="1" applyAlignment="1"/>
    <xf numFmtId="0" fontId="0" fillId="7" borderId="1" xfId="0" applyFill="1" applyBorder="1" applyAlignment="1"/>
    <xf numFmtId="0" fontId="0" fillId="6" borderId="2" xfId="0" applyFill="1" applyBorder="1" applyAlignment="1"/>
    <xf numFmtId="0" fontId="0" fillId="6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6" borderId="0" xfId="0" applyFill="1" applyBorder="1" applyAlignment="1">
      <alignment horizontal="right"/>
    </xf>
    <xf numFmtId="0" fontId="0" fillId="0" borderId="0" xfId="0" applyBorder="1" applyAlignment="1">
      <alignment horizontal="right"/>
    </xf>
    <xf numFmtId="0" fontId="8" fillId="0" borderId="0" xfId="0" applyFont="1" applyBorder="1" applyAlignment="1">
      <alignment horizontal="center"/>
    </xf>
    <xf numFmtId="0" fontId="8" fillId="0" borderId="0" xfId="0" applyFont="1" applyBorder="1"/>
    <xf numFmtId="0" fontId="0" fillId="5" borderId="0" xfId="0" applyFill="1" applyAlignment="1">
      <alignment horizontal="center"/>
    </xf>
    <xf numFmtId="0" fontId="9" fillId="7" borderId="1" xfId="0" applyFont="1" applyFill="1" applyBorder="1" applyAlignment="1"/>
    <xf numFmtId="0" fontId="0" fillId="7" borderId="12" xfId="0" applyFill="1" applyBorder="1" applyAlignment="1">
      <alignment horizontal="left"/>
    </xf>
    <xf numFmtId="0" fontId="0" fillId="7" borderId="11" xfId="0" applyFill="1" applyBorder="1" applyAlignment="1">
      <alignment horizontal="left"/>
    </xf>
    <xf numFmtId="0" fontId="0" fillId="7" borderId="1" xfId="0" applyFill="1" applyBorder="1" applyAlignment="1">
      <alignment horizontal="left"/>
    </xf>
    <xf numFmtId="14" fontId="0" fillId="7" borderId="1" xfId="0" applyNumberFormat="1" applyFill="1" applyBorder="1" applyAlignment="1">
      <alignment horizontal="left"/>
    </xf>
    <xf numFmtId="14" fontId="0" fillId="0" borderId="0" xfId="0" applyNumberFormat="1"/>
    <xf numFmtId="0" fontId="10" fillId="8" borderId="1" xfId="0" applyFont="1" applyFill="1" applyBorder="1"/>
  </cellXfs>
  <cellStyles count="1">
    <cellStyle name="Normal" xfId="0" builtinId="0"/>
  </cellStyles>
  <dxfs count="10">
    <dxf>
      <numFmt numFmtId="2" formatCode="0.0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checked="Checked" firstButton="1" fmlaLink="$H$27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Radio" checked="Checked" firstButton="1" fmlaLink="$G$26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266700</xdr:colOff>
          <xdr:row>4</xdr:row>
          <xdr:rowOff>76200</xdr:rowOff>
        </xdr:from>
        <xdr:to>
          <xdr:col>10</xdr:col>
          <xdr:colOff>251460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to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106680</xdr:colOff>
          <xdr:row>9</xdr:row>
          <xdr:rowOff>22860</xdr:rowOff>
        </xdr:from>
        <xdr:to>
          <xdr:col>7</xdr:col>
          <xdr:colOff>586740</xdr:colOff>
          <xdr:row>9</xdr:row>
          <xdr:rowOff>175260</xdr:rowOff>
        </xdr:to>
        <xdr:sp macro="" textlink="">
          <xdr:nvSpPr>
            <xdr:cNvPr id="3073" name="Option 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Morning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</xdr:colOff>
          <xdr:row>9</xdr:row>
          <xdr:rowOff>38100</xdr:rowOff>
        </xdr:from>
        <xdr:to>
          <xdr:col>9</xdr:col>
          <xdr:colOff>7620</xdr:colOff>
          <xdr:row>10</xdr:row>
          <xdr:rowOff>22860</xdr:rowOff>
        </xdr:to>
        <xdr:sp macro="" textlink="">
          <xdr:nvSpPr>
            <xdr:cNvPr id="3074" name="Option 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Evening</a:t>
              </a:r>
            </a:p>
          </xdr:txBody>
        </xdr:sp>
        <xdr:clientData/>
      </xdr:twoCellAnchor>
    </mc:Choice>
    <mc:Fallback/>
  </mc:AlternateContent>
  <xdr:twoCellAnchor editAs="oneCell">
    <xdr:from>
      <xdr:col>6</xdr:col>
      <xdr:colOff>76200</xdr:colOff>
      <xdr:row>1</xdr:row>
      <xdr:rowOff>76200</xdr:rowOff>
    </xdr:from>
    <xdr:to>
      <xdr:col>10</xdr:col>
      <xdr:colOff>243840</xdr:colOff>
      <xdr:row>4</xdr:row>
      <xdr:rowOff>60960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0" y="259080"/>
          <a:ext cx="2735580" cy="533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198120</xdr:colOff>
          <xdr:row>14</xdr:row>
          <xdr:rowOff>7620</xdr:rowOff>
        </xdr:from>
        <xdr:to>
          <xdr:col>7</xdr:col>
          <xdr:colOff>236220</xdr:colOff>
          <xdr:row>15</xdr:row>
          <xdr:rowOff>53340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441960</xdr:colOff>
          <xdr:row>2</xdr:row>
          <xdr:rowOff>30480</xdr:rowOff>
        </xdr:from>
        <xdr:to>
          <xdr:col>11</xdr:col>
          <xdr:colOff>76200</xdr:colOff>
          <xdr:row>3</xdr:row>
          <xdr:rowOff>7620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Topdf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129540</xdr:colOff>
      <xdr:row>2</xdr:row>
      <xdr:rowOff>22859</xdr:rowOff>
    </xdr:from>
    <xdr:to>
      <xdr:col>8</xdr:col>
      <xdr:colOff>857080</xdr:colOff>
      <xdr:row>5</xdr:row>
      <xdr:rowOff>137876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6200" y="388619"/>
          <a:ext cx="2525860" cy="66365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11</xdr:row>
          <xdr:rowOff>30480</xdr:rowOff>
        </xdr:from>
        <xdr:to>
          <xdr:col>5</xdr:col>
          <xdr:colOff>563880</xdr:colOff>
          <xdr:row>11</xdr:row>
          <xdr:rowOff>160020</xdr:rowOff>
        </xdr:to>
        <xdr:sp macro="" textlink="">
          <xdr:nvSpPr>
            <xdr:cNvPr id="5122" name="Option 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30480</xdr:rowOff>
        </xdr:from>
        <xdr:to>
          <xdr:col>6</xdr:col>
          <xdr:colOff>502920</xdr:colOff>
          <xdr:row>11</xdr:row>
          <xdr:rowOff>160020</xdr:rowOff>
        </xdr:to>
        <xdr:sp macro="" textlink="">
          <xdr:nvSpPr>
            <xdr:cNvPr id="5123" name="Option 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1EBA0703-48F9-4C13-9F49-9F4960EEC7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Offline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510540</xdr:colOff>
          <xdr:row>16</xdr:row>
          <xdr:rowOff>106680</xdr:rowOff>
        </xdr:from>
        <xdr:to>
          <xdr:col>7</xdr:col>
          <xdr:colOff>891540</xdr:colOff>
          <xdr:row>17</xdr:row>
          <xdr:rowOff>121920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320040</xdr:colOff>
          <xdr:row>4</xdr:row>
          <xdr:rowOff>30480</xdr:rowOff>
        </xdr:from>
        <xdr:to>
          <xdr:col>11</xdr:col>
          <xdr:colOff>175260</xdr:colOff>
          <xdr:row>5</xdr:row>
          <xdr:rowOff>91440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To PDF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jahsh%20data%20scientist/vbs%20functio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  <sheetName val="vbs function"/>
    </sheetNames>
    <definedNames>
      <definedName name="ExportToPDF"/>
    </definedNames>
    <sheetDataSet>
      <sheetData sheetId="0"/>
      <sheetData sheetId="1"/>
      <sheetData sheetId="2"/>
      <sheetData sheetId="3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8678E0D-9FB7-441C-ACBB-1BF92D247596}" name="Table1" displayName="Table1" ref="B7:H19" totalsRowShown="0" headerRowDxfId="9" headerRowBorderDxfId="8" tableBorderDxfId="7">
  <autoFilter ref="B7:H19" xr:uid="{58678E0D-9FB7-441C-ACBB-1BF92D24759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24E875F3-18C3-40F4-8813-92B159D3EDB8}" name="stu_id" dataDxfId="6"/>
    <tableColumn id="2" xr3:uid="{428ED958-1A5E-4354-815D-CCF1947531C8}" name="Name" dataDxfId="5">
      <calculatedColumnFormula>_xlfn.XLOOKUP(B8,Sheet2!A:A,Sheet2!B:B,"no intern",0,1)</calculatedColumnFormula>
    </tableColumn>
    <tableColumn id="3" xr3:uid="{DCCDFE5E-0D69-4288-A97D-B0EF8F661F6F}" name="Course" dataDxfId="4">
      <calculatedColumnFormula>_xlfn.XLOOKUP(B8,Sheet2!A:A,Sheet2!C:C,"0",0,1)</calculatedColumnFormula>
    </tableColumn>
    <tableColumn id="4" xr3:uid="{25D13DDD-9B61-4FCA-AA7B-D388F0EA0E00}" name="Age" dataDxfId="3">
      <calculatedColumnFormula>_xlfn.XLOOKUP(B8,Sheet2!A:A,Sheet2!D:D,"not mention",0,1)</calculatedColumnFormula>
    </tableColumn>
    <tableColumn id="5" xr3:uid="{20B5AAFD-E91B-4186-994E-F5F766D9CB99}" name="Evaluation 1" dataDxfId="2"/>
    <tableColumn id="6" xr3:uid="{49A75FF6-AC3F-4115-A156-A27B4E542592}" name="Evaluation 2" dataDxfId="1"/>
    <tableColumn id="7" xr3:uid="{D6742066-1BBB-4033-998B-8A00C0B5343B}" name="Total" dataDxfId="0">
      <calculatedColumnFormula>IF(F8="","",F8+G8)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8B2DB-0F21-426B-BE84-7523E93DC8CD}">
  <sheetPr codeName="Sheet1"/>
  <dimension ref="B3:H19"/>
  <sheetViews>
    <sheetView workbookViewId="0">
      <selection activeCell="J12" sqref="J12"/>
    </sheetView>
  </sheetViews>
  <sheetFormatPr defaultColWidth="12.44140625" defaultRowHeight="14.4" x14ac:dyDescent="0.3"/>
  <cols>
    <col min="6" max="7" width="13.21875" customWidth="1"/>
  </cols>
  <sheetData>
    <row r="3" spans="2:8" x14ac:dyDescent="0.3">
      <c r="D3" s="3" t="s">
        <v>0</v>
      </c>
      <c r="F3" s="1" t="s">
        <v>1</v>
      </c>
    </row>
    <row r="4" spans="2:8" x14ac:dyDescent="0.3">
      <c r="D4" s="2">
        <f ca="1">TODAY()</f>
        <v>45447</v>
      </c>
      <c r="F4" s="1" t="s">
        <v>40</v>
      </c>
    </row>
    <row r="7" spans="2:8" x14ac:dyDescent="0.3">
      <c r="B7" s="15" t="s">
        <v>2</v>
      </c>
      <c r="C7" s="24" t="s">
        <v>3</v>
      </c>
      <c r="D7" s="24" t="s">
        <v>4</v>
      </c>
      <c r="E7" s="24" t="s">
        <v>5</v>
      </c>
      <c r="F7" s="25" t="s">
        <v>6</v>
      </c>
      <c r="G7" s="25" t="s">
        <v>7</v>
      </c>
      <c r="H7" s="13" t="s">
        <v>8</v>
      </c>
    </row>
    <row r="8" spans="2:8" x14ac:dyDescent="0.3">
      <c r="B8" s="22" t="s">
        <v>9</v>
      </c>
      <c r="C8" s="1" t="s">
        <v>20</v>
      </c>
      <c r="D8" s="1" t="s">
        <v>31</v>
      </c>
      <c r="E8" s="1">
        <v>24</v>
      </c>
      <c r="F8" s="1">
        <v>9</v>
      </c>
      <c r="G8" s="5">
        <v>8.6</v>
      </c>
      <c r="H8" s="23">
        <f>IF(F8="","",F8+G8)</f>
        <v>17.600000000000001</v>
      </c>
    </row>
    <row r="9" spans="2:8" x14ac:dyDescent="0.3">
      <c r="B9" s="22" t="s">
        <v>10</v>
      </c>
      <c r="C9" s="1" t="s">
        <v>21</v>
      </c>
      <c r="D9" s="1" t="s">
        <v>32</v>
      </c>
      <c r="E9" s="1">
        <v>23</v>
      </c>
      <c r="F9" s="1">
        <v>8</v>
      </c>
      <c r="G9" s="1">
        <v>8</v>
      </c>
      <c r="H9" s="23">
        <f t="shared" ref="H9:H19" si="0">IF(F9="","",F9+G9)</f>
        <v>16</v>
      </c>
    </row>
    <row r="10" spans="2:8" x14ac:dyDescent="0.3">
      <c r="B10" s="22" t="s">
        <v>11</v>
      </c>
      <c r="C10" s="1" t="s">
        <v>22</v>
      </c>
      <c r="D10" s="1" t="s">
        <v>33</v>
      </c>
      <c r="E10" s="1">
        <v>25</v>
      </c>
      <c r="F10" s="1">
        <v>7</v>
      </c>
      <c r="G10" s="1">
        <v>9</v>
      </c>
      <c r="H10" s="23">
        <f t="shared" si="0"/>
        <v>16</v>
      </c>
    </row>
    <row r="11" spans="2:8" x14ac:dyDescent="0.3">
      <c r="B11" s="22" t="s">
        <v>12</v>
      </c>
      <c r="C11" s="1" t="s">
        <v>23</v>
      </c>
      <c r="D11" s="1" t="s">
        <v>32</v>
      </c>
      <c r="E11" s="1">
        <v>25</v>
      </c>
      <c r="F11" s="1">
        <v>9</v>
      </c>
      <c r="G11" s="1">
        <v>6</v>
      </c>
      <c r="H11" s="23">
        <f t="shared" si="0"/>
        <v>15</v>
      </c>
    </row>
    <row r="12" spans="2:8" x14ac:dyDescent="0.3">
      <c r="B12" s="22" t="s">
        <v>13</v>
      </c>
      <c r="C12" s="1" t="s">
        <v>24</v>
      </c>
      <c r="D12" s="1" t="s">
        <v>34</v>
      </c>
      <c r="E12" s="1">
        <v>22</v>
      </c>
      <c r="F12" s="1">
        <v>9</v>
      </c>
      <c r="G12" s="1"/>
      <c r="H12" s="23">
        <f t="shared" si="0"/>
        <v>9</v>
      </c>
    </row>
    <row r="13" spans="2:8" x14ac:dyDescent="0.3">
      <c r="B13" s="22" t="s">
        <v>14</v>
      </c>
      <c r="C13" s="1" t="s">
        <v>25</v>
      </c>
      <c r="D13" s="1" t="s">
        <v>31</v>
      </c>
      <c r="E13" s="1">
        <v>21</v>
      </c>
      <c r="F13" s="1">
        <v>9.5</v>
      </c>
      <c r="G13" s="1"/>
      <c r="H13" s="23">
        <f t="shared" si="0"/>
        <v>9.5</v>
      </c>
    </row>
    <row r="14" spans="2:8" x14ac:dyDescent="0.3">
      <c r="B14" s="22" t="s">
        <v>15</v>
      </c>
      <c r="C14" s="1" t="str">
        <f>_xlfn.XLOOKUP(B14,Sheet2!A:A,Sheet2!B:B,"no intern",0,1)</f>
        <v>Basith</v>
      </c>
      <c r="D14" s="1" t="str">
        <f>_xlfn.XLOOKUP(B14,Sheet2!A:A,Sheet2!C:C,"0",0,1)</f>
        <v>Flutter</v>
      </c>
      <c r="E14" s="1">
        <f>_xlfn.XLOOKUP(B14,Sheet2!A:A,Sheet2!D:D,"not mention",0,1)</f>
        <v>26</v>
      </c>
      <c r="F14" s="1"/>
      <c r="G14" s="1"/>
      <c r="H14" s="23" t="str">
        <f t="shared" si="0"/>
        <v/>
      </c>
    </row>
    <row r="15" spans="2:8" x14ac:dyDescent="0.3">
      <c r="B15" s="22" t="s">
        <v>16</v>
      </c>
      <c r="C15" s="1" t="str">
        <f>_xlfn.XLOOKUP(B15,Sheet2!A:A,Sheet2!B:B,"no intern",0,1)</f>
        <v>Vyas</v>
      </c>
      <c r="D15" s="1" t="str">
        <f>_xlfn.XLOOKUP(B15,Sheet2!A:A,Sheet2!C:C,"0",0,1)</f>
        <v>Mern</v>
      </c>
      <c r="E15" s="1">
        <f>_xlfn.XLOOKUP(B15,Sheet2!A:A,Sheet2!D:D,"not mention",0,1)</f>
        <v>25</v>
      </c>
      <c r="F15" s="1"/>
      <c r="G15" s="1"/>
      <c r="H15" s="23" t="str">
        <f t="shared" si="0"/>
        <v/>
      </c>
    </row>
    <row r="16" spans="2:8" x14ac:dyDescent="0.3">
      <c r="B16" s="22" t="s">
        <v>17</v>
      </c>
      <c r="C16" s="1" t="str">
        <f>_xlfn.XLOOKUP(B16,Sheet2!A:A,Sheet2!B:B,"no intern",0,1)</f>
        <v>Shahal</v>
      </c>
      <c r="D16" s="1" t="str">
        <f>_xlfn.XLOOKUP(B16,Sheet2!A:A,Sheet2!C:C,"0",0,1)</f>
        <v>Da</v>
      </c>
      <c r="E16" s="1">
        <f>_xlfn.XLOOKUP(B16,Sheet2!A:A,Sheet2!D:D,"not mention",0,1)</f>
        <v>24</v>
      </c>
      <c r="F16" s="1"/>
      <c r="G16" s="1"/>
      <c r="H16" s="23" t="str">
        <f t="shared" si="0"/>
        <v/>
      </c>
    </row>
    <row r="17" spans="2:8" x14ac:dyDescent="0.3">
      <c r="B17" s="22" t="s">
        <v>18</v>
      </c>
      <c r="C17" s="1" t="str">
        <f>_xlfn.XLOOKUP(B17,Sheet2!A:A,Sheet2!B:B,"no intern",0,1)</f>
        <v>Rishan</v>
      </c>
      <c r="D17" s="1" t="str">
        <f>_xlfn.XLOOKUP(B17,Sheet2!A:A,Sheet2!C:C,"0",0,1)</f>
        <v>Dm</v>
      </c>
      <c r="E17" s="1">
        <f>_xlfn.XLOOKUP(B17,Sheet2!A:A,Sheet2!D:D,"not mention",0,1)</f>
        <v>23</v>
      </c>
      <c r="F17" s="1"/>
      <c r="G17" s="1"/>
      <c r="H17" s="23" t="str">
        <f t="shared" si="0"/>
        <v/>
      </c>
    </row>
    <row r="18" spans="2:8" x14ac:dyDescent="0.3">
      <c r="B18" s="22" t="s">
        <v>19</v>
      </c>
      <c r="C18" s="1" t="str">
        <f>_xlfn.XLOOKUP(B18,Sheet2!A:A,Sheet2!B:B,"no intern",0,1)</f>
        <v>Rahul</v>
      </c>
      <c r="D18" s="1" t="str">
        <f>_xlfn.XLOOKUP(B18,Sheet2!A:A,Sheet2!C:C,"0",0,1)</f>
        <v>Da</v>
      </c>
      <c r="E18" s="1">
        <f>_xlfn.XLOOKUP(B18,Sheet2!A:A,Sheet2!D:D,"not mention",0,1)</f>
        <v>23</v>
      </c>
      <c r="F18" s="1"/>
      <c r="G18" s="1"/>
      <c r="H18" s="23" t="str">
        <f t="shared" si="0"/>
        <v/>
      </c>
    </row>
    <row r="19" spans="2:8" x14ac:dyDescent="0.3">
      <c r="B19" s="4" t="s">
        <v>37</v>
      </c>
      <c r="C19" s="1" t="str">
        <f>_xlfn.XLOOKUP(B19,Sheet2!A:A,Sheet2!B:B,"no intern",0,1)</f>
        <v>Praveen</v>
      </c>
      <c r="D19" s="1" t="str">
        <f>_xlfn.XLOOKUP(B19,Sheet2!A:A,Sheet2!C:C,"0",0,1)</f>
        <v>ds</v>
      </c>
      <c r="E19" s="1">
        <f>_xlfn.XLOOKUP(B19,Sheet2!A:A,Sheet2!D:D,"not mention",0,1)</f>
        <v>0</v>
      </c>
      <c r="H19" s="23" t="str">
        <f t="shared" si="0"/>
        <v/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ExportToPDF">
                <anchor moveWithCells="1" sizeWithCells="1">
                  <from>
                    <xdr:col>9</xdr:col>
                    <xdr:colOff>266700</xdr:colOff>
                    <xdr:row>4</xdr:row>
                    <xdr:rowOff>76200</xdr:rowOff>
                  </from>
                  <to>
                    <xdr:col>10</xdr:col>
                    <xdr:colOff>251460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19F1F-6E46-45F2-9DA1-CDC9E7F19EDC}">
  <sheetPr codeName="Sheet2"/>
  <dimension ref="A1:D13"/>
  <sheetViews>
    <sheetView workbookViewId="0">
      <selection activeCell="C14" sqref="C14"/>
    </sheetView>
  </sheetViews>
  <sheetFormatPr defaultRowHeight="14.4" x14ac:dyDescent="0.3"/>
  <sheetData>
    <row r="1" spans="1:4" x14ac:dyDescent="0.3">
      <c r="A1" s="1" t="s">
        <v>2</v>
      </c>
      <c r="B1" s="1" t="s">
        <v>3</v>
      </c>
      <c r="C1" s="1" t="s">
        <v>4</v>
      </c>
      <c r="D1" s="1" t="s">
        <v>5</v>
      </c>
    </row>
    <row r="2" spans="1:4" x14ac:dyDescent="0.3">
      <c r="A2" s="1" t="s">
        <v>9</v>
      </c>
      <c r="B2" s="1" t="s">
        <v>20</v>
      </c>
      <c r="C2" s="1" t="s">
        <v>31</v>
      </c>
      <c r="D2" s="1">
        <v>24</v>
      </c>
    </row>
    <row r="3" spans="1:4" x14ac:dyDescent="0.3">
      <c r="A3" s="1" t="s">
        <v>10</v>
      </c>
      <c r="B3" s="1" t="s">
        <v>21</v>
      </c>
      <c r="C3" s="1" t="s">
        <v>32</v>
      </c>
      <c r="D3" s="1">
        <v>23</v>
      </c>
    </row>
    <row r="4" spans="1:4" x14ac:dyDescent="0.3">
      <c r="A4" s="1" t="s">
        <v>11</v>
      </c>
      <c r="B4" s="1" t="s">
        <v>22</v>
      </c>
      <c r="C4" s="1" t="s">
        <v>33</v>
      </c>
      <c r="D4" s="1">
        <v>25</v>
      </c>
    </row>
    <row r="5" spans="1:4" x14ac:dyDescent="0.3">
      <c r="A5" s="1" t="s">
        <v>12</v>
      </c>
      <c r="B5" s="1" t="s">
        <v>23</v>
      </c>
      <c r="C5" s="1" t="s">
        <v>32</v>
      </c>
      <c r="D5" s="1">
        <v>25</v>
      </c>
    </row>
    <row r="6" spans="1:4" x14ac:dyDescent="0.3">
      <c r="A6" s="1" t="s">
        <v>13</v>
      </c>
      <c r="B6" s="1" t="s">
        <v>24</v>
      </c>
      <c r="C6" s="1" t="s">
        <v>34</v>
      </c>
      <c r="D6" s="1">
        <v>22</v>
      </c>
    </row>
    <row r="7" spans="1:4" x14ac:dyDescent="0.3">
      <c r="A7" s="1" t="s">
        <v>14</v>
      </c>
      <c r="B7" s="1" t="s">
        <v>25</v>
      </c>
      <c r="C7" s="1" t="s">
        <v>31</v>
      </c>
      <c r="D7" s="1">
        <v>21</v>
      </c>
    </row>
    <row r="8" spans="1:4" x14ac:dyDescent="0.3">
      <c r="A8" s="1" t="s">
        <v>15</v>
      </c>
      <c r="B8" s="1" t="s">
        <v>26</v>
      </c>
      <c r="C8" s="1" t="s">
        <v>35</v>
      </c>
      <c r="D8" s="1">
        <v>26</v>
      </c>
    </row>
    <row r="9" spans="1:4" x14ac:dyDescent="0.3">
      <c r="A9" s="1" t="s">
        <v>16</v>
      </c>
      <c r="B9" s="1" t="s">
        <v>27</v>
      </c>
      <c r="C9" s="1" t="s">
        <v>33</v>
      </c>
      <c r="D9" s="1">
        <v>25</v>
      </c>
    </row>
    <row r="10" spans="1:4" x14ac:dyDescent="0.3">
      <c r="A10" s="1" t="s">
        <v>17</v>
      </c>
      <c r="B10" s="1" t="s">
        <v>28</v>
      </c>
      <c r="C10" s="1" t="s">
        <v>34</v>
      </c>
      <c r="D10" s="1">
        <v>24</v>
      </c>
    </row>
    <row r="11" spans="1:4" x14ac:dyDescent="0.3">
      <c r="A11" s="1" t="s">
        <v>18</v>
      </c>
      <c r="B11" s="1" t="s">
        <v>29</v>
      </c>
      <c r="C11" s="1" t="s">
        <v>36</v>
      </c>
      <c r="D11" s="1">
        <v>23</v>
      </c>
    </row>
    <row r="12" spans="1:4" x14ac:dyDescent="0.3">
      <c r="A12" s="1" t="s">
        <v>19</v>
      </c>
      <c r="B12" s="1" t="s">
        <v>30</v>
      </c>
      <c r="C12" s="1" t="s">
        <v>34</v>
      </c>
      <c r="D12" s="1">
        <v>23</v>
      </c>
    </row>
    <row r="13" spans="1:4" x14ac:dyDescent="0.3">
      <c r="A13" s="6" t="s">
        <v>37</v>
      </c>
      <c r="B13" s="6" t="s">
        <v>38</v>
      </c>
      <c r="C13" s="6" t="s">
        <v>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B48AE-5CD1-469A-AFD5-59C87C7A1052}">
  <sheetPr codeName="Sheet3"/>
  <dimension ref="C2:K27"/>
  <sheetViews>
    <sheetView showGridLines="0" workbookViewId="0">
      <selection activeCell="H8" sqref="H8"/>
    </sheetView>
  </sheetViews>
  <sheetFormatPr defaultRowHeight="14.4" x14ac:dyDescent="0.3"/>
  <cols>
    <col min="1" max="3" width="8.88671875" style="16"/>
    <col min="4" max="4" width="10" style="16" bestFit="1" customWidth="1"/>
    <col min="5" max="6" width="8.88671875" style="16"/>
    <col min="7" max="7" width="10.77734375" style="16" bestFit="1" customWidth="1"/>
    <col min="8" max="16384" width="8.88671875" style="16"/>
  </cols>
  <sheetData>
    <row r="2" spans="3:11" x14ac:dyDescent="0.3">
      <c r="C2" s="7"/>
      <c r="D2" s="8"/>
      <c r="E2" s="8"/>
      <c r="F2" s="8"/>
      <c r="G2" s="8"/>
      <c r="H2" s="8"/>
      <c r="I2" s="8"/>
      <c r="J2" s="8"/>
      <c r="K2" s="9"/>
    </row>
    <row r="3" spans="3:11" x14ac:dyDescent="0.3">
      <c r="C3" s="10"/>
      <c r="D3" s="28" t="s">
        <v>46</v>
      </c>
      <c r="E3" s="29"/>
      <c r="F3" s="29"/>
      <c r="G3" s="11"/>
      <c r="H3" s="11"/>
      <c r="I3" s="11"/>
      <c r="J3" s="11"/>
      <c r="K3" s="12"/>
    </row>
    <row r="4" spans="3:11" x14ac:dyDescent="0.3">
      <c r="C4" s="10"/>
      <c r="D4" s="29"/>
      <c r="E4" s="29"/>
      <c r="F4" s="29"/>
      <c r="G4" s="11"/>
      <c r="H4" s="11"/>
      <c r="I4" s="11"/>
      <c r="J4" s="11"/>
      <c r="K4" s="12"/>
    </row>
    <row r="5" spans="3:11" x14ac:dyDescent="0.3">
      <c r="C5" s="10"/>
      <c r="D5" s="11"/>
      <c r="E5" s="11"/>
      <c r="F5" s="11"/>
      <c r="G5" s="11"/>
      <c r="H5" s="11"/>
      <c r="I5" s="11"/>
      <c r="J5" s="11"/>
      <c r="K5" s="12"/>
    </row>
    <row r="6" spans="3:11" x14ac:dyDescent="0.3">
      <c r="C6" s="10"/>
      <c r="D6" s="11" t="s">
        <v>47</v>
      </c>
      <c r="E6" s="11"/>
      <c r="F6" s="11" t="s">
        <v>64</v>
      </c>
      <c r="G6" s="11"/>
      <c r="H6" s="11"/>
      <c r="I6" s="11"/>
      <c r="J6" s="11"/>
      <c r="K6" s="12"/>
    </row>
    <row r="7" spans="3:11" x14ac:dyDescent="0.3">
      <c r="C7" s="10"/>
      <c r="D7" s="11" t="s">
        <v>41</v>
      </c>
      <c r="E7" s="11"/>
      <c r="F7" s="11"/>
      <c r="G7" s="11" t="s">
        <v>43</v>
      </c>
      <c r="H7" s="20"/>
      <c r="I7" s="20"/>
      <c r="J7" s="11"/>
      <c r="K7" s="12"/>
    </row>
    <row r="8" spans="3:11" x14ac:dyDescent="0.3">
      <c r="C8" s="10"/>
      <c r="D8" s="11" t="s">
        <v>42</v>
      </c>
      <c r="E8" s="11"/>
      <c r="F8" s="11" t="s">
        <v>65</v>
      </c>
      <c r="G8" s="11" t="s">
        <v>44</v>
      </c>
      <c r="H8" s="20"/>
      <c r="I8" s="11"/>
      <c r="J8" s="11"/>
      <c r="K8" s="12"/>
    </row>
    <row r="9" spans="3:11" x14ac:dyDescent="0.3">
      <c r="C9" s="10"/>
      <c r="D9" s="11"/>
      <c r="E9" s="11"/>
      <c r="F9" s="11"/>
      <c r="G9" s="11"/>
      <c r="H9" s="11"/>
      <c r="I9" s="11"/>
      <c r="J9" s="11"/>
      <c r="K9" s="12"/>
    </row>
    <row r="10" spans="3:11" x14ac:dyDescent="0.3">
      <c r="C10" s="10"/>
      <c r="D10" s="11" t="s">
        <v>5</v>
      </c>
      <c r="E10" s="11"/>
      <c r="F10" s="11"/>
      <c r="G10" s="11" t="s">
        <v>45</v>
      </c>
      <c r="H10" s="11"/>
      <c r="I10" s="11"/>
      <c r="J10" s="11"/>
      <c r="K10" s="12"/>
    </row>
    <row r="11" spans="3:11" x14ac:dyDescent="0.3">
      <c r="C11" s="10"/>
      <c r="D11" s="11"/>
      <c r="E11" s="11"/>
      <c r="F11" s="11"/>
      <c r="G11" s="11"/>
      <c r="H11" s="11"/>
      <c r="I11" s="11"/>
      <c r="J11" s="11"/>
      <c r="K11" s="12"/>
    </row>
    <row r="12" spans="3:11" x14ac:dyDescent="0.3">
      <c r="C12" s="10"/>
      <c r="D12" s="11"/>
      <c r="E12" s="11"/>
      <c r="F12" s="11"/>
      <c r="G12" s="11"/>
      <c r="H12" s="11"/>
      <c r="I12" s="11"/>
      <c r="J12" s="11"/>
      <c r="K12" s="12"/>
    </row>
    <row r="13" spans="3:11" x14ac:dyDescent="0.3">
      <c r="C13" s="10"/>
      <c r="D13" s="11"/>
      <c r="E13" s="11"/>
      <c r="F13" s="11"/>
      <c r="G13" s="11"/>
      <c r="H13" s="11"/>
      <c r="I13" s="11"/>
      <c r="J13" s="11"/>
      <c r="K13" s="12"/>
    </row>
    <row r="14" spans="3:11" x14ac:dyDescent="0.3">
      <c r="C14" s="10"/>
      <c r="D14" s="11"/>
      <c r="E14" s="11"/>
      <c r="F14" s="11"/>
      <c r="G14" s="11"/>
      <c r="H14" s="11"/>
      <c r="I14" s="11"/>
      <c r="J14" s="11"/>
      <c r="K14" s="12"/>
    </row>
    <row r="15" spans="3:11" x14ac:dyDescent="0.3">
      <c r="C15" s="10"/>
      <c r="D15" s="11"/>
      <c r="E15" s="11"/>
      <c r="F15" s="11"/>
      <c r="G15" s="11"/>
      <c r="H15" s="11"/>
      <c r="I15" s="11"/>
      <c r="J15" s="11"/>
      <c r="K15" s="12"/>
    </row>
    <row r="16" spans="3:11" x14ac:dyDescent="0.3">
      <c r="C16" s="10"/>
      <c r="D16" s="11"/>
      <c r="E16" s="11"/>
      <c r="F16" s="11"/>
      <c r="G16" s="11"/>
      <c r="H16" s="11"/>
      <c r="I16" s="11"/>
      <c r="J16" s="11"/>
      <c r="K16" s="12"/>
    </row>
    <row r="17" spans="3:11" x14ac:dyDescent="0.3">
      <c r="C17" s="13"/>
      <c r="D17" s="14"/>
      <c r="E17" s="14"/>
      <c r="F17" s="14"/>
      <c r="G17" s="14"/>
      <c r="H17" s="14"/>
      <c r="I17" s="14"/>
      <c r="J17" s="14"/>
      <c r="K17" s="15"/>
    </row>
    <row r="19" spans="3:11" ht="37.200000000000003" customHeight="1" x14ac:dyDescent="0.3"/>
    <row r="20" spans="3:11" hidden="1" x14ac:dyDescent="0.3"/>
    <row r="21" spans="3:11" hidden="1" x14ac:dyDescent="0.3">
      <c r="F21" s="21" t="s">
        <v>47</v>
      </c>
      <c r="G21" s="16">
        <f>E6</f>
        <v>0</v>
      </c>
    </row>
    <row r="22" spans="3:11" hidden="1" x14ac:dyDescent="0.3">
      <c r="F22" s="21" t="s">
        <v>41</v>
      </c>
      <c r="G22" s="16">
        <f>E7</f>
        <v>0</v>
      </c>
    </row>
    <row r="23" spans="3:11" hidden="1" x14ac:dyDescent="0.3">
      <c r="F23" s="21" t="s">
        <v>42</v>
      </c>
      <c r="G23" s="16">
        <f>E8</f>
        <v>0</v>
      </c>
    </row>
    <row r="24" spans="3:11" hidden="1" x14ac:dyDescent="0.3">
      <c r="F24" s="21" t="s">
        <v>43</v>
      </c>
      <c r="G24" s="16">
        <f>H7</f>
        <v>0</v>
      </c>
    </row>
    <row r="25" spans="3:11" hidden="1" x14ac:dyDescent="0.3">
      <c r="F25" s="21" t="s">
        <v>44</v>
      </c>
      <c r="G25" s="16">
        <f>H8</f>
        <v>0</v>
      </c>
    </row>
    <row r="26" spans="3:11" hidden="1" x14ac:dyDescent="0.3">
      <c r="F26" s="21" t="s">
        <v>5</v>
      </c>
      <c r="G26" s="16">
        <f>E10</f>
        <v>0</v>
      </c>
    </row>
    <row r="27" spans="3:11" hidden="1" x14ac:dyDescent="0.3">
      <c r="F27" s="21" t="s">
        <v>45</v>
      </c>
      <c r="G27" s="16" t="str">
        <f>IF(H27=2,"morning","Evening")</f>
        <v>Evening</v>
      </c>
      <c r="H27" s="16">
        <v>1</v>
      </c>
    </row>
  </sheetData>
  <mergeCells count="1">
    <mergeCell ref="D3:F4"/>
  </mergeCells>
  <dataValidations count="1">
    <dataValidation type="list" allowBlank="1" showInputMessage="1" showErrorMessage="1" sqref="H8" xr:uid="{43B477FD-4E82-40AE-91D8-FFAAD6C91553}">
      <formula1>"male,femal"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Option Button 2">
              <controlPr defaultSize="0" autoFill="0" autoLine="0" autoPict="0">
                <anchor moveWithCells="1">
                  <from>
                    <xdr:col>8</xdr:col>
                    <xdr:colOff>15240</xdr:colOff>
                    <xdr:row>9</xdr:row>
                    <xdr:rowOff>38100</xdr:rowOff>
                  </from>
                  <to>
                    <xdr:col>9</xdr:col>
                    <xdr:colOff>7620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4" name="Option Button 1">
              <controlPr defaultSize="0" autoFill="0" autoLine="0" autoPict="0">
                <anchor moveWithCells="1">
                  <from>
                    <xdr:col>7</xdr:col>
                    <xdr:colOff>106680</xdr:colOff>
                    <xdr:row>9</xdr:row>
                    <xdr:rowOff>22860</xdr:rowOff>
                  </from>
                  <to>
                    <xdr:col>7</xdr:col>
                    <xdr:colOff>586740</xdr:colOff>
                    <xdr:row>9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Button 6">
              <controlPr defaultSize="0" print="0" autoFill="0" autoPict="0" macro="[0]!futurastaff">
                <anchor moveWithCells="1" sizeWithCells="1">
                  <from>
                    <xdr:col>5</xdr:col>
                    <xdr:colOff>198120</xdr:colOff>
                    <xdr:row>14</xdr:row>
                    <xdr:rowOff>7620</xdr:rowOff>
                  </from>
                  <to>
                    <xdr:col>7</xdr:col>
                    <xdr:colOff>236220</xdr:colOff>
                    <xdr:row>15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8838F-FC3C-464A-8ECD-40259E34FEF0}">
  <sheetPr codeName="Sheet6"/>
  <dimension ref="A1"/>
  <sheetViews>
    <sheetView workbookViewId="0">
      <selection activeCell="J5" sqref="J5"/>
    </sheetView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83A51-4387-4E6C-959A-9871B7EE42D2}">
  <sheetPr codeName="Sheet5"/>
  <dimension ref="B2:H17"/>
  <sheetViews>
    <sheetView workbookViewId="0">
      <selection activeCell="K14" sqref="K14"/>
    </sheetView>
  </sheetViews>
  <sheetFormatPr defaultRowHeight="14.4" x14ac:dyDescent="0.3"/>
  <cols>
    <col min="2" max="2" width="7.33203125" bestFit="1" customWidth="1"/>
    <col min="3" max="3" width="10.77734375" bestFit="1" customWidth="1"/>
    <col min="4" max="4" width="9.6640625" bestFit="1" customWidth="1"/>
    <col min="5" max="5" width="14.109375" bestFit="1" customWidth="1"/>
    <col min="6" max="6" width="6.88671875" bestFit="1" customWidth="1"/>
    <col min="7" max="7" width="4" bestFit="1" customWidth="1"/>
    <col min="8" max="8" width="9.33203125" bestFit="1" customWidth="1"/>
  </cols>
  <sheetData>
    <row r="2" spans="2:8" x14ac:dyDescent="0.3">
      <c r="B2" s="17" t="s">
        <v>47</v>
      </c>
      <c r="C2" s="18" t="s">
        <v>41</v>
      </c>
      <c r="D2" s="18" t="s">
        <v>42</v>
      </c>
      <c r="E2" s="18" t="s">
        <v>43</v>
      </c>
      <c r="F2" s="18" t="s">
        <v>44</v>
      </c>
      <c r="G2" s="18" t="s">
        <v>5</v>
      </c>
      <c r="H2" s="19" t="s">
        <v>45</v>
      </c>
    </row>
    <row r="3" spans="2:8" x14ac:dyDescent="0.3">
      <c r="B3">
        <v>0</v>
      </c>
      <c r="C3">
        <v>0</v>
      </c>
      <c r="D3">
        <v>0</v>
      </c>
      <c r="E3">
        <v>0</v>
      </c>
      <c r="F3" t="s">
        <v>48</v>
      </c>
      <c r="G3">
        <v>123</v>
      </c>
      <c r="H3" t="s">
        <v>54</v>
      </c>
    </row>
    <row r="5" spans="2:8" x14ac:dyDescent="0.3">
      <c r="B5">
        <v>0</v>
      </c>
      <c r="C5">
        <v>0</v>
      </c>
      <c r="D5">
        <v>0</v>
      </c>
      <c r="E5" t="s">
        <v>66</v>
      </c>
      <c r="F5" t="s">
        <v>48</v>
      </c>
      <c r="G5">
        <v>24</v>
      </c>
      <c r="H5" t="s">
        <v>59</v>
      </c>
    </row>
    <row r="6" spans="2:8" x14ac:dyDescent="0.3">
      <c r="B6" t="s">
        <v>60</v>
      </c>
      <c r="C6" t="s">
        <v>61</v>
      </c>
      <c r="D6" t="s">
        <v>62</v>
      </c>
      <c r="E6" t="s">
        <v>63</v>
      </c>
      <c r="F6" t="s">
        <v>49</v>
      </c>
      <c r="G6">
        <v>26</v>
      </c>
      <c r="H6" t="s">
        <v>54</v>
      </c>
    </row>
    <row r="7" spans="2:8" x14ac:dyDescent="0.3">
      <c r="B7" t="s">
        <v>55</v>
      </c>
      <c r="C7" t="s">
        <v>56</v>
      </c>
      <c r="D7" t="s">
        <v>57</v>
      </c>
      <c r="E7" t="s">
        <v>58</v>
      </c>
      <c r="F7" t="s">
        <v>49</v>
      </c>
      <c r="G7">
        <v>23</v>
      </c>
      <c r="H7" t="s">
        <v>59</v>
      </c>
    </row>
    <row r="8" spans="2:8" x14ac:dyDescent="0.3">
      <c r="B8" t="s">
        <v>50</v>
      </c>
      <c r="C8" t="s">
        <v>51</v>
      </c>
      <c r="D8" t="s">
        <v>52</v>
      </c>
      <c r="E8" t="s">
        <v>53</v>
      </c>
      <c r="F8" t="s">
        <v>49</v>
      </c>
      <c r="G8">
        <v>24</v>
      </c>
      <c r="H8" t="s">
        <v>54</v>
      </c>
    </row>
    <row r="9" spans="2:8" x14ac:dyDescent="0.3">
      <c r="B9" s="10"/>
      <c r="C9" s="11"/>
      <c r="D9" s="11"/>
      <c r="E9" s="11"/>
      <c r="F9" s="11"/>
      <c r="G9" s="11"/>
      <c r="H9" s="12"/>
    </row>
    <row r="10" spans="2:8" x14ac:dyDescent="0.3">
      <c r="B10" s="10"/>
      <c r="C10" s="11"/>
      <c r="D10" s="11"/>
      <c r="E10" s="11"/>
      <c r="F10" s="11"/>
      <c r="G10" s="11"/>
      <c r="H10" s="12"/>
    </row>
    <row r="11" spans="2:8" x14ac:dyDescent="0.3">
      <c r="B11" s="10"/>
      <c r="C11" s="11"/>
      <c r="D11" s="11"/>
      <c r="E11" s="11"/>
      <c r="F11" s="11"/>
      <c r="G11" s="11"/>
      <c r="H11" s="12"/>
    </row>
    <row r="12" spans="2:8" x14ac:dyDescent="0.3">
      <c r="B12" s="10"/>
      <c r="C12" s="11"/>
      <c r="D12" s="11"/>
      <c r="E12" s="11"/>
      <c r="F12" s="11"/>
      <c r="G12" s="11"/>
      <c r="H12" s="12"/>
    </row>
    <row r="13" spans="2:8" x14ac:dyDescent="0.3">
      <c r="B13" s="10"/>
      <c r="C13" s="11"/>
      <c r="D13" s="11"/>
      <c r="E13" s="11"/>
      <c r="F13" s="11"/>
      <c r="G13" s="11"/>
      <c r="H13" s="12"/>
    </row>
    <row r="14" spans="2:8" x14ac:dyDescent="0.3">
      <c r="B14" s="10"/>
      <c r="C14" s="11"/>
      <c r="D14" s="11"/>
      <c r="E14" s="11"/>
      <c r="F14" s="11"/>
      <c r="G14" s="11"/>
      <c r="H14" s="12"/>
    </row>
    <row r="15" spans="2:8" x14ac:dyDescent="0.3">
      <c r="B15" s="10"/>
      <c r="C15" s="11"/>
      <c r="D15" s="11"/>
      <c r="E15" s="11"/>
      <c r="F15" s="11"/>
      <c r="G15" s="11"/>
      <c r="H15" s="12"/>
    </row>
    <row r="16" spans="2:8" x14ac:dyDescent="0.3">
      <c r="B16" s="10"/>
      <c r="C16" s="11"/>
      <c r="D16" s="11"/>
      <c r="E16" s="11"/>
      <c r="F16" s="11"/>
      <c r="G16" s="11"/>
      <c r="H16" s="12"/>
    </row>
    <row r="17" spans="2:8" x14ac:dyDescent="0.3">
      <c r="B17" s="13"/>
      <c r="C17" s="14"/>
      <c r="D17" s="14"/>
      <c r="E17" s="14"/>
      <c r="F17" s="14"/>
      <c r="G17" s="14"/>
      <c r="H17" s="15"/>
    </row>
  </sheetData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futurastaff">
                <anchor moveWithCells="1" sizeWithCells="1">
                  <from>
                    <xdr:col>9</xdr:col>
                    <xdr:colOff>441960</xdr:colOff>
                    <xdr:row>2</xdr:row>
                    <xdr:rowOff>30480</xdr:rowOff>
                  </from>
                  <to>
                    <xdr:col>11</xdr:col>
                    <xdr:colOff>76200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B0050-3AD1-4AA5-92B1-EB88D2D0C2EE}">
  <sheetPr codeName="Sheet7"/>
  <dimension ref="A1:J34"/>
  <sheetViews>
    <sheetView showGridLines="0" tabSelected="1" workbookViewId="0">
      <selection activeCell="L13" sqref="L13"/>
    </sheetView>
  </sheetViews>
  <sheetFormatPr defaultRowHeight="14.4" x14ac:dyDescent="0.3"/>
  <cols>
    <col min="1" max="4" width="8.88671875" style="27"/>
    <col min="5" max="5" width="10.33203125" style="27" bestFit="1" customWidth="1"/>
    <col min="6" max="6" width="10.5546875" style="27" bestFit="1" customWidth="1"/>
    <col min="7" max="7" width="8.88671875" style="27"/>
    <col min="8" max="9" width="17.33203125" style="27" bestFit="1" customWidth="1"/>
    <col min="10" max="10" width="8.88671875" style="27" customWidth="1"/>
    <col min="11" max="16384" width="8.88671875" style="27"/>
  </cols>
  <sheetData>
    <row r="1" spans="1:10" x14ac:dyDescent="0.3">
      <c r="A1" s="26"/>
      <c r="B1" s="26"/>
    </row>
    <row r="2" spans="1:10" x14ac:dyDescent="0.3">
      <c r="A2" s="26"/>
      <c r="B2" s="26"/>
    </row>
    <row r="3" spans="1:10" x14ac:dyDescent="0.3">
      <c r="A3" s="26"/>
      <c r="B3" s="26"/>
      <c r="C3" s="7"/>
      <c r="D3" s="8"/>
      <c r="E3" s="8"/>
      <c r="F3" s="8"/>
      <c r="G3" s="8"/>
      <c r="H3" s="8"/>
      <c r="I3" s="8"/>
      <c r="J3" s="9"/>
    </row>
    <row r="4" spans="1:10" x14ac:dyDescent="0.3">
      <c r="A4" s="26"/>
      <c r="B4" s="26"/>
      <c r="C4" s="10"/>
      <c r="D4" s="30" t="s">
        <v>73</v>
      </c>
      <c r="E4" s="29"/>
      <c r="F4" s="29"/>
      <c r="G4" s="11"/>
      <c r="H4" s="11"/>
      <c r="I4" s="11"/>
      <c r="J4" s="12"/>
    </row>
    <row r="5" spans="1:10" x14ac:dyDescent="0.3">
      <c r="A5" s="26"/>
      <c r="B5" s="26"/>
      <c r="C5" s="10"/>
      <c r="D5" s="29"/>
      <c r="E5" s="29"/>
      <c r="F5" s="29"/>
      <c r="G5" s="11"/>
      <c r="H5" s="11"/>
      <c r="I5" s="11"/>
      <c r="J5" s="12"/>
    </row>
    <row r="6" spans="1:10" x14ac:dyDescent="0.3">
      <c r="A6" s="26"/>
      <c r="B6" s="26"/>
      <c r="C6" s="10"/>
      <c r="D6" s="11"/>
      <c r="E6" s="11"/>
      <c r="F6" s="11"/>
      <c r="G6" s="11"/>
      <c r="H6" s="11"/>
      <c r="I6" s="11"/>
      <c r="J6" s="12"/>
    </row>
    <row r="7" spans="1:10" x14ac:dyDescent="0.3">
      <c r="A7" s="26"/>
      <c r="B7" s="26"/>
      <c r="C7" s="10"/>
      <c r="D7" s="11"/>
      <c r="E7" s="11"/>
      <c r="F7" s="11"/>
      <c r="G7" s="11"/>
      <c r="H7" s="11"/>
      <c r="I7" s="11"/>
      <c r="J7" s="12"/>
    </row>
    <row r="8" spans="1:10" x14ac:dyDescent="0.3">
      <c r="A8" s="26"/>
      <c r="B8" s="26"/>
      <c r="C8" s="10"/>
      <c r="D8" s="11"/>
      <c r="E8" s="38" t="s">
        <v>67</v>
      </c>
      <c r="F8" s="45"/>
      <c r="G8" s="35"/>
      <c r="H8" s="33" t="s">
        <v>71</v>
      </c>
      <c r="I8" s="34"/>
      <c r="J8" s="12"/>
    </row>
    <row r="9" spans="1:10" x14ac:dyDescent="0.3">
      <c r="A9" s="26"/>
      <c r="B9" s="26"/>
      <c r="C9" s="10"/>
      <c r="D9" s="11"/>
      <c r="E9" s="39"/>
      <c r="F9" s="11"/>
      <c r="G9" s="11"/>
      <c r="H9" s="42"/>
      <c r="I9" s="43" t="str">
        <f>IF(I8="customized","please contact staff","")</f>
        <v/>
      </c>
      <c r="J9" s="12"/>
    </row>
    <row r="10" spans="1:10" x14ac:dyDescent="0.3">
      <c r="A10" s="26"/>
      <c r="B10" s="26"/>
      <c r="C10" s="10"/>
      <c r="D10" s="11"/>
      <c r="E10" s="38" t="s">
        <v>3</v>
      </c>
      <c r="F10" s="46"/>
      <c r="G10" s="47"/>
      <c r="H10" s="33" t="s">
        <v>44</v>
      </c>
      <c r="I10" s="36"/>
      <c r="J10" s="37"/>
    </row>
    <row r="11" spans="1:10" x14ac:dyDescent="0.3">
      <c r="A11" s="26"/>
      <c r="B11" s="26"/>
      <c r="C11" s="10"/>
      <c r="D11" s="11"/>
      <c r="E11" s="39"/>
      <c r="F11" s="11"/>
      <c r="G11" s="11"/>
      <c r="H11" s="41"/>
      <c r="I11" s="11"/>
      <c r="J11" s="12"/>
    </row>
    <row r="12" spans="1:10" x14ac:dyDescent="0.3">
      <c r="A12" s="26"/>
      <c r="B12" s="26"/>
      <c r="C12" s="10"/>
      <c r="D12" s="11"/>
      <c r="E12" s="38" t="s">
        <v>68</v>
      </c>
      <c r="F12" s="31"/>
      <c r="G12" s="32"/>
      <c r="H12" s="41"/>
      <c r="I12" s="11"/>
      <c r="J12" s="12"/>
    </row>
    <row r="13" spans="1:10" x14ac:dyDescent="0.3">
      <c r="A13" s="26"/>
      <c r="B13" s="26"/>
      <c r="C13" s="10"/>
      <c r="D13" s="11"/>
      <c r="E13" s="39"/>
      <c r="F13" s="11"/>
      <c r="G13" s="11"/>
      <c r="H13" s="41"/>
      <c r="I13" s="11"/>
      <c r="J13" s="12"/>
    </row>
    <row r="14" spans="1:10" x14ac:dyDescent="0.3">
      <c r="A14" s="26"/>
      <c r="B14" s="26"/>
      <c r="C14" s="10"/>
      <c r="D14" s="11"/>
      <c r="E14" s="38" t="s">
        <v>69</v>
      </c>
      <c r="F14" s="48"/>
      <c r="G14" s="11"/>
      <c r="H14" s="40" t="s">
        <v>72</v>
      </c>
      <c r="I14" s="48"/>
      <c r="J14" s="12"/>
    </row>
    <row r="15" spans="1:10" x14ac:dyDescent="0.3">
      <c r="A15" s="26"/>
      <c r="B15" s="26"/>
      <c r="C15" s="10"/>
      <c r="D15" s="11"/>
      <c r="E15" s="39"/>
      <c r="F15" s="11"/>
      <c r="G15" s="11"/>
      <c r="H15" s="11"/>
      <c r="I15" s="11"/>
      <c r="J15" s="12"/>
    </row>
    <row r="16" spans="1:10" x14ac:dyDescent="0.3">
      <c r="A16" s="26"/>
      <c r="B16" s="26"/>
      <c r="C16" s="10"/>
      <c r="D16" s="11"/>
      <c r="E16" s="38" t="s">
        <v>70</v>
      </c>
      <c r="F16" s="49"/>
      <c r="G16" s="11"/>
      <c r="H16" s="11"/>
      <c r="I16" s="11"/>
      <c r="J16" s="12"/>
    </row>
    <row r="17" spans="1:10" x14ac:dyDescent="0.3">
      <c r="A17" s="26"/>
      <c r="B17" s="26"/>
      <c r="C17" s="10"/>
      <c r="D17" s="11"/>
      <c r="E17" s="11"/>
      <c r="F17" s="11"/>
      <c r="G17" s="11"/>
      <c r="H17" s="11"/>
      <c r="I17" s="11"/>
      <c r="J17" s="12"/>
    </row>
    <row r="18" spans="1:10" x14ac:dyDescent="0.3">
      <c r="A18" s="26"/>
      <c r="B18" s="26"/>
      <c r="C18" s="13"/>
      <c r="D18" s="14"/>
      <c r="E18" s="14"/>
      <c r="F18" s="14"/>
      <c r="G18" s="14"/>
      <c r="H18" s="14"/>
      <c r="I18" s="14"/>
      <c r="J18" s="15"/>
    </row>
    <row r="20" spans="1:10" hidden="1" x14ac:dyDescent="0.3"/>
    <row r="21" spans="1:10" hidden="1" x14ac:dyDescent="0.3"/>
    <row r="22" spans="1:10" hidden="1" x14ac:dyDescent="0.3"/>
    <row r="23" spans="1:10" hidden="1" x14ac:dyDescent="0.3">
      <c r="E23" s="27" t="s">
        <v>75</v>
      </c>
      <c r="F23" s="27">
        <f>F8</f>
        <v>0</v>
      </c>
    </row>
    <row r="24" spans="1:10" hidden="1" x14ac:dyDescent="0.3">
      <c r="E24" s="27" t="s">
        <v>76</v>
      </c>
      <c r="F24" s="27">
        <f>F10</f>
        <v>0</v>
      </c>
    </row>
    <row r="25" spans="1:10" hidden="1" x14ac:dyDescent="0.3">
      <c r="E25" s="27" t="s">
        <v>79</v>
      </c>
      <c r="F25" s="27">
        <f>I10</f>
        <v>0</v>
      </c>
    </row>
    <row r="26" spans="1:10" hidden="1" x14ac:dyDescent="0.3">
      <c r="E26" s="27" t="s">
        <v>77</v>
      </c>
      <c r="F26" s="44" t="str">
        <f>IF(G26=1,"Online","Offline")</f>
        <v>Online</v>
      </c>
      <c r="G26" s="27">
        <v>1</v>
      </c>
    </row>
    <row r="27" spans="1:10" hidden="1" x14ac:dyDescent="0.3">
      <c r="E27" s="27" t="s">
        <v>80</v>
      </c>
      <c r="F27" s="44">
        <f>I8</f>
        <v>0</v>
      </c>
    </row>
    <row r="28" spans="1:10" hidden="1" x14ac:dyDescent="0.3">
      <c r="E28" s="27" t="s">
        <v>81</v>
      </c>
      <c r="F28" s="27">
        <f>F16</f>
        <v>0</v>
      </c>
    </row>
    <row r="29" spans="1:10" hidden="1" x14ac:dyDescent="0.3">
      <c r="E29" s="27" t="s">
        <v>78</v>
      </c>
      <c r="F29" s="27">
        <f>F14</f>
        <v>0</v>
      </c>
    </row>
    <row r="30" spans="1:10" hidden="1" x14ac:dyDescent="0.3">
      <c r="E30" s="27" t="s">
        <v>82</v>
      </c>
      <c r="F30" s="27">
        <f>I14</f>
        <v>0</v>
      </c>
    </row>
    <row r="31" spans="1:10" hidden="1" x14ac:dyDescent="0.3"/>
    <row r="32" spans="1:10" hidden="1" x14ac:dyDescent="0.3"/>
    <row r="33" hidden="1" x14ac:dyDescent="0.3"/>
    <row r="34" hidden="1" x14ac:dyDescent="0.3"/>
  </sheetData>
  <mergeCells count="3">
    <mergeCell ref="D4:F5"/>
    <mergeCell ref="F10:G10"/>
    <mergeCell ref="F12:G12"/>
  </mergeCells>
  <dataValidations count="2">
    <dataValidation type="list" allowBlank="1" showInputMessage="1" showErrorMessage="1" sqref="I8" xr:uid="{199C06D2-BF87-4BED-BE1C-8D0ADE4ECFD8}">
      <formula1>"4 Month,6 Month,Customized, "</formula1>
    </dataValidation>
    <dataValidation type="list" allowBlank="1" showInputMessage="1" showErrorMessage="1" sqref="I10" xr:uid="{146B007A-1B34-4AB0-9801-3D70D9554551}">
      <formula1>"Male,Female"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Option Button 2">
              <controlPr defaultSize="0" autoFill="0" autoLine="0" autoPict="0">
                <anchor moveWithCells="1">
                  <from>
                    <xdr:col>5</xdr:col>
                    <xdr:colOff>60960</xdr:colOff>
                    <xdr:row>11</xdr:row>
                    <xdr:rowOff>30480</xdr:rowOff>
                  </from>
                  <to>
                    <xdr:col>5</xdr:col>
                    <xdr:colOff>563880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Option Button 3">
              <controlPr defaultSize="0" autoFill="0" autoLine="0" autoPict="0">
                <anchor moveWithCells="1">
                  <from>
                    <xdr:col>6</xdr:col>
                    <xdr:colOff>0</xdr:colOff>
                    <xdr:row>11</xdr:row>
                    <xdr:rowOff>30480</xdr:rowOff>
                  </from>
                  <to>
                    <xdr:col>6</xdr:col>
                    <xdr:colOff>502920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5" name="Button 9">
              <controlPr defaultSize="0" print="0" autoFill="0" autoPict="0" macro="[0]!new_active">
                <anchor moveWithCells="1" sizeWithCells="1">
                  <from>
                    <xdr:col>6</xdr:col>
                    <xdr:colOff>510540</xdr:colOff>
                    <xdr:row>16</xdr:row>
                    <xdr:rowOff>106680</xdr:rowOff>
                  </from>
                  <to>
                    <xdr:col>7</xdr:col>
                    <xdr:colOff>891540</xdr:colOff>
                    <xdr:row>17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AD711-8BAB-4F86-AD96-BE3B82FB3D4F}">
  <sheetPr codeName="Sheet4"/>
  <dimension ref="A1:H1"/>
  <sheetViews>
    <sheetView workbookViewId="0">
      <selection sqref="A1:H1"/>
    </sheetView>
  </sheetViews>
  <sheetFormatPr defaultRowHeight="14.4" x14ac:dyDescent="0.3"/>
  <cols>
    <col min="6" max="6" width="10.5546875" bestFit="1" customWidth="1"/>
  </cols>
  <sheetData>
    <row r="1" spans="1:8" x14ac:dyDescent="0.3">
      <c r="A1">
        <v>1</v>
      </c>
      <c r="B1" t="s">
        <v>87</v>
      </c>
      <c r="C1" t="s">
        <v>84</v>
      </c>
      <c r="D1" t="s">
        <v>83</v>
      </c>
      <c r="E1" t="s">
        <v>74</v>
      </c>
      <c r="F1" s="50">
        <v>45447</v>
      </c>
      <c r="G1" t="s">
        <v>85</v>
      </c>
      <c r="H1" t="s">
        <v>86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A2407-2207-42FA-A58F-5CBE506C866F}">
  <sheetPr codeName="Sheet8"/>
  <dimension ref="A1:H5"/>
  <sheetViews>
    <sheetView workbookViewId="0">
      <selection activeCell="A2" sqref="A2"/>
    </sheetView>
  </sheetViews>
  <sheetFormatPr defaultRowHeight="14.4" x14ac:dyDescent="0.3"/>
  <cols>
    <col min="1" max="1" width="5.77734375" style="1" bestFit="1" customWidth="1"/>
    <col min="2" max="2" width="7.109375" style="1" bestFit="1" customWidth="1"/>
    <col min="3" max="3" width="8.6640625" style="1" bestFit="1" customWidth="1"/>
    <col min="4" max="4" width="7.109375" style="1" bestFit="1" customWidth="1"/>
    <col min="5" max="5" width="10.109375" style="1" bestFit="1" customWidth="1"/>
    <col min="6" max="6" width="10.5546875" style="1" bestFit="1" customWidth="1"/>
    <col min="7" max="7" width="12.77734375" style="1" bestFit="1" customWidth="1"/>
    <col min="8" max="8" width="16.77734375" style="1" bestFit="1" customWidth="1"/>
    <col min="9" max="16384" width="8.88671875" style="16"/>
  </cols>
  <sheetData>
    <row r="1" spans="1:8" ht="18" x14ac:dyDescent="0.35">
      <c r="A1" s="51" t="s">
        <v>75</v>
      </c>
      <c r="B1" s="51" t="s">
        <v>3</v>
      </c>
      <c r="C1" s="51" t="s">
        <v>44</v>
      </c>
      <c r="D1" s="51" t="s">
        <v>68</v>
      </c>
      <c r="E1" s="51" t="s">
        <v>71</v>
      </c>
      <c r="F1" s="51" t="s">
        <v>70</v>
      </c>
      <c r="G1" s="51" t="s">
        <v>69</v>
      </c>
      <c r="H1" s="51" t="s">
        <v>72</v>
      </c>
    </row>
    <row r="2" spans="1:8" x14ac:dyDescent="0.3">
      <c r="A2">
        <v>1</v>
      </c>
      <c r="B2" t="s">
        <v>87</v>
      </c>
      <c r="C2" t="s">
        <v>84</v>
      </c>
      <c r="D2" t="s">
        <v>83</v>
      </c>
      <c r="E2" t="s">
        <v>74</v>
      </c>
      <c r="F2" s="50">
        <v>45447</v>
      </c>
      <c r="G2" t="s">
        <v>85</v>
      </c>
      <c r="H2" t="s">
        <v>86</v>
      </c>
    </row>
    <row r="3" spans="1:8" x14ac:dyDescent="0.3">
      <c r="F3" s="2"/>
    </row>
    <row r="4" spans="1:8" x14ac:dyDescent="0.3">
      <c r="F4" s="2"/>
    </row>
    <row r="5" spans="1:8" x14ac:dyDescent="0.3">
      <c r="F5" s="2"/>
    </row>
  </sheetData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active_intern_pdf">
                <anchor moveWithCells="1" sizeWithCells="1">
                  <from>
                    <xdr:col>9</xdr:col>
                    <xdr:colOff>320040</xdr:colOff>
                    <xdr:row>4</xdr:row>
                    <xdr:rowOff>30480</xdr:rowOff>
                  </from>
                  <to>
                    <xdr:col>11</xdr:col>
                    <xdr:colOff>175260</xdr:colOff>
                    <xdr:row>5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0D6AF0C-6F9B-4A27-8220-07BDA5E1201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Data to be pdf</vt:lpstr>
      <vt:lpstr>Sheet2</vt:lpstr>
      <vt:lpstr>form to excel</vt:lpstr>
      <vt:lpstr>Sheet1</vt:lpstr>
      <vt:lpstr>sheet to</vt:lpstr>
      <vt:lpstr>active intern</vt:lpstr>
      <vt:lpstr>raw</vt:lpstr>
      <vt:lpstr>active pdf</vt:lpstr>
      <vt:lpstr>'active pdf'!Print_Area</vt:lpstr>
      <vt:lpstr>'Data to be pdf'!Print_Area</vt:lpstr>
      <vt:lpstr>'sheet to'!Print_Area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muhammed jahsh v</dc:creator>
  <cp:lastModifiedBy>muhammed jahsh v</cp:lastModifiedBy>
  <cp:lastPrinted>2024-06-04T10:14:14Z</cp:lastPrinted>
  <dcterms:created xsi:type="dcterms:W3CDTF">2024-05-31T10:29:26Z</dcterms:created>
  <dcterms:modified xsi:type="dcterms:W3CDTF">2024-06-04T10:18:33Z</dcterms:modified>
</cp:coreProperties>
</file>